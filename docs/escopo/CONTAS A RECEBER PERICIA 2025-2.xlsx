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 0610" sheetId="1" r:id="rId4"/>
    <sheet state="visible" name="PERICA QUADRO SETEMBRO 2025" sheetId="2" r:id="rId5"/>
  </sheets>
  <definedNames/>
  <calcPr/>
</workbook>
</file>

<file path=xl/sharedStrings.xml><?xml version="1.0" encoding="utf-8"?>
<sst xmlns="http://schemas.openxmlformats.org/spreadsheetml/2006/main" count="207" uniqueCount="113">
  <si>
    <t>NFS JÁ EMITIDAS A VENCER</t>
  </si>
  <si>
    <t xml:space="preserve">POSIÇÃO EM : </t>
  </si>
  <si>
    <t xml:space="preserve">NFS JÁ EMITIDAS </t>
  </si>
  <si>
    <t>NFS A EMITIR (AGUARDANDO AUTORIZAÇÃO)</t>
  </si>
  <si>
    <t xml:space="preserve">EMPRESA </t>
  </si>
  <si>
    <t>NF</t>
  </si>
  <si>
    <t>DATA EMISSAO</t>
  </si>
  <si>
    <t>PRAZO PAGTO</t>
  </si>
  <si>
    <t>VALOR</t>
  </si>
  <si>
    <t>PREVISÃO PAGTO</t>
  </si>
  <si>
    <t xml:space="preserve">ISO CLEAN </t>
  </si>
  <si>
    <t xml:space="preserve">PRO SECUTITY </t>
  </si>
  <si>
    <t xml:space="preserve">VEMAN </t>
  </si>
  <si>
    <t xml:space="preserve">PROCLEAN </t>
  </si>
  <si>
    <t>VERZANI DEZ/2024</t>
  </si>
  <si>
    <t>VERZANI&amp;SANDRINI</t>
  </si>
  <si>
    <t>VERZANI FEV/2025</t>
  </si>
  <si>
    <t>VERZANI MAR/2025</t>
  </si>
  <si>
    <t>VERZANI ABR/2025</t>
  </si>
  <si>
    <t>VERZANI/MAIO2025</t>
  </si>
  <si>
    <t>VERZANI/JUNHO2025</t>
  </si>
  <si>
    <t>VERZANI/JULHO2025</t>
  </si>
  <si>
    <t>VERZANI/AGOSTO2025</t>
  </si>
  <si>
    <t>VERZANI/SETEMBRO2025</t>
  </si>
  <si>
    <t>NEPOMUCENO/SETBRO2025</t>
  </si>
  <si>
    <t xml:space="preserve">EXPRESSO NEPOMUCENO </t>
  </si>
  <si>
    <t>SELMI/SETEMBRO2025</t>
  </si>
  <si>
    <t xml:space="preserve">ARCELOR MITTAL </t>
  </si>
  <si>
    <t>CAMIL/SETEMBRO2025</t>
  </si>
  <si>
    <t>ARCELOR MIT/SETEMBRO2025</t>
  </si>
  <si>
    <t>SECURITY/SETEMBRO2025</t>
  </si>
  <si>
    <t>AVULSAS SETEMBRO2025</t>
  </si>
  <si>
    <t>V&amp;S SEGURANÇA PATRI</t>
  </si>
  <si>
    <t>CAMIL ALIMENTOS SA</t>
  </si>
  <si>
    <t>ETICA CONSERVAÇÃO</t>
  </si>
  <si>
    <t xml:space="preserve">VALOR TOTAL </t>
  </si>
  <si>
    <t>PERICIA - QUADRO ATÉ SETEMBRO DE 2025</t>
  </si>
  <si>
    <t xml:space="preserve">FATURAMENTO </t>
  </si>
  <si>
    <t>QTDE PERICIAS</t>
  </si>
  <si>
    <t>MEDIA MENSAL</t>
  </si>
  <si>
    <t>NEPOMUCENO</t>
  </si>
  <si>
    <t>SELMI</t>
  </si>
  <si>
    <t>ADORO</t>
  </si>
  <si>
    <t>CONTATO</t>
  </si>
  <si>
    <t>thais.henrique@verzani.com.br</t>
  </si>
  <si>
    <t>luizareis@expressonepomuceno.com.br</t>
  </si>
  <si>
    <t>antonio@selmi.com.br</t>
  </si>
  <si>
    <t>amanda.cunha@adoro.com.br</t>
  </si>
  <si>
    <t>dararodrigues@expressonepomuceno.com.br</t>
  </si>
  <si>
    <t>rebecaguimaraes@selmi.com.br</t>
  </si>
  <si>
    <t>flaviasiqueira@expressonepomuceno.com.br</t>
  </si>
  <si>
    <t>VALOR COBRADO:</t>
  </si>
  <si>
    <t>Até 150 km SP</t>
  </si>
  <si>
    <t>150 a 300km SP</t>
  </si>
  <si>
    <t>&gt; 300 km SP</t>
  </si>
  <si>
    <t>Valido para qualquer localização</t>
  </si>
  <si>
    <t>PERÍCIA TÉCNICA</t>
  </si>
  <si>
    <t>PERÍCIA MÉDICA</t>
  </si>
  <si>
    <t>FAT (ATÉ SETEMBRO 2025)</t>
  </si>
  <si>
    <t>%PART FATURAMENTO</t>
  </si>
  <si>
    <t>1</t>
  </si>
  <si>
    <t>OUTROS</t>
  </si>
  <si>
    <t>MEDIA R$</t>
  </si>
  <si>
    <t>CAMIL</t>
  </si>
  <si>
    <t>MEXICHEM</t>
  </si>
  <si>
    <t>VOTORANTIM</t>
  </si>
  <si>
    <t>SITREL</t>
  </si>
  <si>
    <t>liliana.silva@camil.com.br</t>
  </si>
  <si>
    <t>dayane.ornelas@orbia.com</t>
  </si>
  <si>
    <t>ana.c.carvalho@arcelormittal.com</t>
  </si>
  <si>
    <t>caio.sales@camil.com.br</t>
  </si>
  <si>
    <t>mariana.nascimento.ext@orbia.com</t>
  </si>
  <si>
    <t>lizandra.nardi@arcelormittal.com.br</t>
  </si>
  <si>
    <t>edsel.viana@arcelormittal.com.br</t>
  </si>
  <si>
    <t>marcos.willian@camil.com.br</t>
  </si>
  <si>
    <t>monique.lopes@orbia.com</t>
  </si>
  <si>
    <t xml:space="preserve">GP SEGURANÇA </t>
  </si>
  <si>
    <t>MANGELS</t>
  </si>
  <si>
    <t xml:space="preserve">PERICIAS AVULSAS </t>
  </si>
  <si>
    <t>PREVERMED</t>
  </si>
  <si>
    <t>lucas.grotto@sousecurity.com.br</t>
  </si>
  <si>
    <t>Andressa - aq.oliveira@mangels.com.br</t>
  </si>
  <si>
    <t>VIDE ABAIXO</t>
  </si>
  <si>
    <t>susana.bezerra@prevermed.com.br</t>
  </si>
  <si>
    <t>caio.rosa@sousecurity.com.br</t>
  </si>
  <si>
    <t>Mariana - m.orati@mangels.com.br</t>
  </si>
  <si>
    <t>Patricia - p.fiuza@mangels.com.br</t>
  </si>
  <si>
    <t>Preços negociados individualmente</t>
  </si>
  <si>
    <t>3</t>
  </si>
  <si>
    <t>PERICIAS AVULSAS</t>
  </si>
  <si>
    <t>PRO CLEAN HIGIENIZACAO E LIMPEZA LTDA.(GRUPO PROSECURITY)</t>
  </si>
  <si>
    <t>adm.patriciaprates@prosecurity.com.br</t>
  </si>
  <si>
    <t>FARMACIA NOSSA SENHORA DO ROSARIO LTDA.</t>
  </si>
  <si>
    <t>Helena - pagamentos@farmaciarosario.com.br</t>
  </si>
  <si>
    <t xml:space="preserve"> Gabriela - dpessoal@farmaciarosario.com.br</t>
  </si>
  <si>
    <t>Carolina (Nori ADV) - adv.carolina@terra.com.br</t>
  </si>
  <si>
    <t>MARCOS ANTONIO BALDINI</t>
  </si>
  <si>
    <t>VISTA FOODS LTDA.</t>
  </si>
  <si>
    <t>ME POUPE! CONTEUDO E SERVICOS FINANCEIROS LTDA.</t>
  </si>
  <si>
    <t>Artemisa - artemisa.silva@mepoupe.com</t>
  </si>
  <si>
    <t>SOCIEDADE COMERCIAL E EDUCACIONAL MEDEIROS E SILVEIRA LTDA.</t>
  </si>
  <si>
    <t>julia.oliveira@maragno.adv.br</t>
  </si>
  <si>
    <t>CROMEX S.A.</t>
  </si>
  <si>
    <t>tatiana@lizarelliadvogados.com.br</t>
  </si>
  <si>
    <t>IFOOD.COM AGENCIA DE RESTAURANTES ONLINE S.A.</t>
  </si>
  <si>
    <t>nydia@boldoriramos.com.br</t>
  </si>
  <si>
    <t>julia@boldoriramos.com.br</t>
  </si>
  <si>
    <t>larissa@boldoriramos.com.br</t>
  </si>
  <si>
    <t xml:space="preserve"> FORSEASON COMERCIAL LTDA.</t>
  </si>
  <si>
    <t>forenzatecidos@gmail.com</t>
  </si>
  <si>
    <t>SPAGNHOL COMÉRCIO DE FLORES E PLANTAS LTDA.</t>
  </si>
  <si>
    <t>Jessica - rh@spagnhol.com.br</t>
  </si>
  <si>
    <t>adv.nori@terra.com.br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</si>
</sst>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5">
    <font>
      <sz val="10.0"/>
      <color rgb="FF000000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/>
    <font>
      <b/>
      <sz val="11.0"/>
      <color theme="1"/>
      <name val="Arial"/>
      <scheme val="minor"/>
    </font>
    <font>
      <sz val="11.0"/>
      <color theme="1"/>
      <name val="Arial"/>
    </font>
    <font>
      <color theme="1"/>
      <name val="Arial"/>
    </font>
    <font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8.0"/>
      <color theme="1"/>
      <name val="Arial"/>
      <scheme val="minor"/>
    </font>
    <font>
      <sz val="9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Calibri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2" fontId="2" numFmtId="0" xfId="0" applyAlignment="1" applyBorder="1" applyFont="1">
      <alignment horizontal="right" readingOrder="0"/>
    </xf>
    <xf borderId="3" fillId="2" fontId="4" numFmtId="164" xfId="0" applyAlignment="1" applyBorder="1" applyFont="1" applyNumberFormat="1">
      <alignment horizontal="left" readingOrder="0"/>
    </xf>
    <xf borderId="1" fillId="3" fontId="2" numFmtId="0" xfId="0" applyAlignment="1" applyBorder="1" applyFill="1" applyFont="1">
      <alignment horizontal="center" readingOrder="0" vertical="center"/>
    </xf>
    <xf borderId="3" fillId="3" fontId="2" numFmtId="0" xfId="0" applyAlignment="1" applyBorder="1" applyFont="1">
      <alignment horizontal="right" readingOrder="0"/>
    </xf>
    <xf borderId="3" fillId="3" fontId="4" numFmtId="164" xfId="0" applyAlignment="1" applyBorder="1" applyFont="1" applyNumberFormat="1">
      <alignment horizontal="left" readingOrder="0"/>
    </xf>
    <xf borderId="1" fillId="4" fontId="2" numFmtId="0" xfId="0" applyAlignment="1" applyBorder="1" applyFill="1" applyFont="1">
      <alignment horizontal="center" readingOrder="0" vertical="center"/>
    </xf>
    <xf borderId="3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readingOrder="0" vertical="center"/>
    </xf>
    <xf borderId="3" fillId="3" fontId="1" numFmtId="0" xfId="0" applyAlignment="1" applyBorder="1" applyFont="1">
      <alignment horizontal="center" vertical="center"/>
    </xf>
    <xf borderId="3" fillId="3" fontId="1" numFmtId="0" xfId="0" applyAlignment="1" applyBorder="1" applyFont="1">
      <alignment horizontal="center" readingOrder="0" vertical="center"/>
    </xf>
    <xf borderId="3" fillId="4" fontId="1" numFmtId="0" xfId="0" applyAlignment="1" applyBorder="1" applyFont="1">
      <alignment horizontal="center" vertical="center"/>
    </xf>
    <xf borderId="3" fillId="2" fontId="5" numFmtId="0" xfId="0" applyAlignment="1" applyBorder="1" applyFont="1">
      <alignment vertical="bottom"/>
    </xf>
    <xf borderId="3" fillId="2" fontId="5" numFmtId="0" xfId="0" applyAlignment="1" applyBorder="1" applyFont="1">
      <alignment horizontal="center"/>
    </xf>
    <xf borderId="3" fillId="2" fontId="5" numFmtId="164" xfId="0" applyAlignment="1" applyBorder="1" applyFont="1" applyNumberFormat="1">
      <alignment horizontal="right" vertical="bottom"/>
    </xf>
    <xf borderId="3" fillId="2" fontId="5" numFmtId="4" xfId="0" applyAlignment="1" applyBorder="1" applyFont="1" applyNumberFormat="1">
      <alignment horizontal="right" vertical="bottom"/>
    </xf>
    <xf borderId="3" fillId="3" fontId="5" numFmtId="0" xfId="0" applyAlignment="1" applyBorder="1" applyFont="1">
      <alignment vertical="bottom"/>
    </xf>
    <xf borderId="3" fillId="3" fontId="5" numFmtId="0" xfId="0" applyAlignment="1" applyBorder="1" applyFont="1">
      <alignment horizontal="center"/>
    </xf>
    <xf borderId="3" fillId="3" fontId="5" numFmtId="164" xfId="0" applyAlignment="1" applyBorder="1" applyFont="1" applyNumberFormat="1">
      <alignment horizontal="right" vertical="bottom"/>
    </xf>
    <xf borderId="3" fillId="3" fontId="5" numFmtId="4" xfId="0" applyAlignment="1" applyBorder="1" applyFont="1" applyNumberFormat="1">
      <alignment horizontal="right" vertical="bottom"/>
    </xf>
    <xf borderId="3" fillId="4" fontId="5" numFmtId="0" xfId="0" applyAlignment="1" applyBorder="1" applyFont="1">
      <alignment horizontal="center" readingOrder="0" vertical="center"/>
    </xf>
    <xf borderId="3" fillId="4" fontId="5" numFmtId="4" xfId="0" applyAlignment="1" applyBorder="1" applyFont="1" applyNumberFormat="1">
      <alignment horizontal="center" readingOrder="0"/>
    </xf>
    <xf borderId="3" fillId="4" fontId="5" numFmtId="4" xfId="0" applyAlignment="1" applyBorder="1" applyFont="1" applyNumberFormat="1">
      <alignment horizontal="center" readingOrder="0" vertical="center"/>
    </xf>
    <xf borderId="3" fillId="3" fontId="5" numFmtId="0" xfId="0" applyAlignment="1" applyBorder="1" applyFont="1">
      <alignment horizontal="center" readingOrder="0" vertical="center"/>
    </xf>
    <xf borderId="3" fillId="3" fontId="5" numFmtId="164" xfId="0" applyAlignment="1" applyBorder="1" applyFont="1" applyNumberFormat="1">
      <alignment horizontal="center" readingOrder="0" vertical="center"/>
    </xf>
    <xf borderId="3" fillId="3" fontId="5" numFmtId="4" xfId="0" applyAlignment="1" applyBorder="1" applyFont="1" applyNumberFormat="1">
      <alignment horizontal="center" readingOrder="0" vertical="center"/>
    </xf>
    <xf borderId="3" fillId="4" fontId="5" numFmtId="0" xfId="0" applyAlignment="1" applyBorder="1" applyFont="1">
      <alignment horizontal="center" readingOrder="0"/>
    </xf>
    <xf borderId="3" fillId="3" fontId="6" numFmtId="0" xfId="0" applyAlignment="1" applyBorder="1" applyFont="1">
      <alignment horizontal="center" readingOrder="0" vertical="center"/>
    </xf>
    <xf borderId="3" fillId="3" fontId="6" numFmtId="164" xfId="0" applyAlignment="1" applyBorder="1" applyFont="1" applyNumberFormat="1">
      <alignment horizontal="center" readingOrder="0" vertical="center"/>
    </xf>
    <xf borderId="3" fillId="3" fontId="6" numFmtId="4" xfId="0" applyAlignment="1" applyBorder="1" applyFont="1" applyNumberFormat="1">
      <alignment horizontal="center" readingOrder="0" vertical="center"/>
    </xf>
    <xf borderId="3" fillId="4" fontId="1" numFmtId="4" xfId="0" applyAlignment="1" applyBorder="1" applyFont="1" applyNumberFormat="1">
      <alignment horizontal="center" readingOrder="0" vertical="center"/>
    </xf>
    <xf borderId="3" fillId="4" fontId="1" numFmtId="0" xfId="0" applyAlignment="1" applyBorder="1" applyFont="1">
      <alignment horizontal="center" readingOrder="0"/>
    </xf>
    <xf borderId="3" fillId="4" fontId="1" numFmtId="0" xfId="0" applyBorder="1" applyFont="1"/>
    <xf borderId="3" fillId="2" fontId="5" numFmtId="0" xfId="0" applyAlignment="1" applyBorder="1" applyFont="1">
      <alignment horizontal="center" readingOrder="0" vertical="center"/>
    </xf>
    <xf borderId="3" fillId="2" fontId="5" numFmtId="164" xfId="0" applyAlignment="1" applyBorder="1" applyFont="1" applyNumberFormat="1">
      <alignment horizontal="center" readingOrder="0" vertical="center"/>
    </xf>
    <xf borderId="3" fillId="2" fontId="5" numFmtId="4" xfId="0" applyAlignment="1" applyBorder="1" applyFont="1" applyNumberFormat="1">
      <alignment horizontal="center" readingOrder="0" vertical="center"/>
    </xf>
    <xf borderId="3" fillId="2" fontId="2" numFmtId="0" xfId="0" applyAlignment="1" applyBorder="1" applyFont="1">
      <alignment readingOrder="0"/>
    </xf>
    <xf borderId="3" fillId="2" fontId="1" numFmtId="0" xfId="0" applyBorder="1" applyFont="1"/>
    <xf borderId="3" fillId="2" fontId="7" numFmtId="4" xfId="0" applyAlignment="1" applyBorder="1" applyFont="1" applyNumberFormat="1">
      <alignment horizontal="center" vertical="center"/>
    </xf>
    <xf borderId="3" fillId="3" fontId="2" numFmtId="0" xfId="0" applyAlignment="1" applyBorder="1" applyFont="1">
      <alignment readingOrder="0"/>
    </xf>
    <xf borderId="3" fillId="3" fontId="1" numFmtId="0" xfId="0" applyBorder="1" applyFont="1"/>
    <xf borderId="3" fillId="3" fontId="7" numFmtId="4" xfId="0" applyAlignment="1" applyBorder="1" applyFont="1" applyNumberFormat="1">
      <alignment horizontal="center" vertical="center"/>
    </xf>
    <xf borderId="3" fillId="4" fontId="2" numFmtId="0" xfId="0" applyAlignment="1" applyBorder="1" applyFont="1">
      <alignment readingOrder="0"/>
    </xf>
    <xf borderId="3" fillId="4" fontId="7" numFmtId="4" xfId="0" applyAlignment="1" applyBorder="1" applyFont="1" applyNumberFormat="1">
      <alignment horizontal="center" vertical="center"/>
    </xf>
    <xf borderId="4" fillId="0" fontId="7" numFmtId="0" xfId="0" applyAlignment="1" applyBorder="1" applyFont="1">
      <alignment readingOrder="0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0" fillId="5" fontId="8" numFmtId="0" xfId="0" applyAlignment="1" applyFill="1" applyFont="1">
      <alignment readingOrder="0"/>
    </xf>
    <xf borderId="1" fillId="5" fontId="9" numFmtId="0" xfId="0" applyAlignment="1" applyBorder="1" applyFont="1">
      <alignment horizontal="center" readingOrder="0"/>
    </xf>
    <xf borderId="1" fillId="5" fontId="9" numFmtId="0" xfId="0" applyAlignment="1" applyBorder="1" applyFont="1">
      <alignment horizontal="center" readingOrder="0" vertical="center"/>
    </xf>
    <xf borderId="0" fillId="6" fontId="1" numFmtId="0" xfId="0" applyFill="1" applyFont="1"/>
    <xf borderId="1" fillId="5" fontId="9" numFmtId="4" xfId="0" applyAlignment="1" applyBorder="1" applyFont="1" applyNumberFormat="1">
      <alignment horizontal="center"/>
    </xf>
    <xf borderId="1" fillId="5" fontId="9" numFmtId="49" xfId="0" applyAlignment="1" applyBorder="1" applyFont="1" applyNumberFormat="1">
      <alignment horizontal="center"/>
    </xf>
    <xf borderId="1" fillId="5" fontId="9" numFmtId="1" xfId="0" applyAlignment="1" applyBorder="1" applyFont="1" applyNumberFormat="1">
      <alignment horizontal="center" vertical="center"/>
    </xf>
    <xf borderId="8" fillId="6" fontId="10" numFmtId="0" xfId="0" applyAlignment="1" applyBorder="1" applyFont="1">
      <alignment readingOrder="0"/>
    </xf>
    <xf borderId="9" fillId="6" fontId="1" numFmtId="0" xfId="0" applyAlignment="1" applyBorder="1" applyFont="1">
      <alignment horizontal="center" readingOrder="0" vertical="center"/>
    </xf>
    <xf borderId="9" fillId="0" fontId="3" numFmtId="0" xfId="0" applyBorder="1" applyFont="1"/>
    <xf borderId="10" fillId="0" fontId="3" numFmtId="0" xfId="0" applyBorder="1" applyFont="1"/>
    <xf borderId="11" fillId="6" fontId="1" numFmtId="0" xfId="0" applyAlignment="1" applyBorder="1" applyFont="1">
      <alignment horizontal="center" readingOrder="0" vertical="center"/>
    </xf>
    <xf borderId="0" fillId="7" fontId="1" numFmtId="0" xfId="0" applyAlignment="1" applyFill="1" applyFont="1">
      <alignment horizontal="center" readingOrder="0" vertical="center"/>
    </xf>
    <xf borderId="4" fillId="7" fontId="1" numFmtId="0" xfId="0" applyAlignment="1" applyBorder="1" applyFont="1">
      <alignment horizontal="center" readingOrder="0" vertical="center"/>
    </xf>
    <xf borderId="12" fillId="0" fontId="3" numFmtId="0" xfId="0" applyBorder="1" applyFont="1"/>
    <xf borderId="1" fillId="7" fontId="1" numFmtId="0" xfId="0" applyAlignment="1" applyBorder="1" applyFont="1">
      <alignment horizontal="center" readingOrder="0" vertical="center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" fillId="7" fontId="1" numFmtId="0" xfId="0" applyBorder="1" applyFont="1"/>
    <xf borderId="1" fillId="6" fontId="10" numFmtId="0" xfId="0" applyAlignment="1" applyBorder="1" applyFont="1">
      <alignment readingOrder="0"/>
    </xf>
    <xf borderId="17" fillId="6" fontId="2" numFmtId="0" xfId="0" applyAlignment="1" applyBorder="1" applyFont="1">
      <alignment horizontal="center" readingOrder="0" vertical="center"/>
    </xf>
    <xf borderId="3" fillId="6" fontId="2" numFmtId="0" xfId="0" applyAlignment="1" applyBorder="1" applyFont="1">
      <alignment horizontal="center" readingOrder="0" vertical="center"/>
    </xf>
    <xf borderId="18" fillId="6" fontId="2" numFmtId="0" xfId="0" applyAlignment="1" applyBorder="1" applyFont="1">
      <alignment horizontal="center" readingOrder="0" vertical="center"/>
    </xf>
    <xf borderId="2" fillId="6" fontId="2" numFmtId="0" xfId="0" applyAlignment="1" applyBorder="1" applyFont="1">
      <alignment horizontal="center" readingOrder="0" vertical="center"/>
    </xf>
    <xf borderId="13" fillId="6" fontId="2" numFmtId="0" xfId="0" applyAlignment="1" applyBorder="1" applyFont="1">
      <alignment horizontal="center" readingOrder="0" vertical="center"/>
    </xf>
    <xf borderId="19" fillId="0" fontId="3" numFmtId="0" xfId="0" applyBorder="1" applyFont="1"/>
    <xf borderId="17" fillId="6" fontId="1" numFmtId="4" xfId="0" applyAlignment="1" applyBorder="1" applyFont="1" applyNumberFormat="1">
      <alignment horizontal="center" readingOrder="0" vertical="center"/>
    </xf>
    <xf borderId="3" fillId="6" fontId="1" numFmtId="4" xfId="0" applyAlignment="1" applyBorder="1" applyFont="1" applyNumberFormat="1">
      <alignment horizontal="center" readingOrder="0" vertical="center"/>
    </xf>
    <xf borderId="18" fillId="6" fontId="1" numFmtId="4" xfId="0" applyAlignment="1" applyBorder="1" applyFont="1" applyNumberFormat="1">
      <alignment horizontal="center" readingOrder="0" vertical="center"/>
    </xf>
    <xf borderId="2" fillId="6" fontId="1" numFmtId="4" xfId="0" applyAlignment="1" applyBorder="1" applyFont="1" applyNumberFormat="1">
      <alignment horizontal="center" readingOrder="0" vertical="center"/>
    </xf>
    <xf borderId="1" fillId="6" fontId="10" numFmtId="0" xfId="0" applyAlignment="1" applyBorder="1" applyFont="1">
      <alignment horizontal="center" readingOrder="0"/>
    </xf>
    <xf borderId="20" fillId="6" fontId="2" numFmtId="4" xfId="0" applyAlignment="1" applyBorder="1" applyFont="1" applyNumberFormat="1">
      <alignment horizontal="center" readingOrder="0" vertical="center"/>
    </xf>
    <xf borderId="13" fillId="6" fontId="2" numFmtId="4" xfId="0" applyAlignment="1" applyBorder="1" applyFont="1" applyNumberFormat="1">
      <alignment horizontal="center" readingOrder="0" vertical="center"/>
    </xf>
    <xf borderId="1" fillId="6" fontId="10" numFmtId="4" xfId="0" applyAlignment="1" applyBorder="1" applyFont="1" applyNumberFormat="1">
      <alignment horizontal="center" readingOrder="0"/>
    </xf>
    <xf borderId="20" fillId="6" fontId="1" numFmtId="10" xfId="0" applyAlignment="1" applyBorder="1" applyFont="1" applyNumberFormat="1">
      <alignment horizontal="center" readingOrder="0" vertical="center"/>
    </xf>
    <xf borderId="20" fillId="6" fontId="1" numFmtId="49" xfId="0" applyAlignment="1" applyBorder="1" applyFont="1" applyNumberFormat="1">
      <alignment horizontal="center" readingOrder="0" vertical="center"/>
    </xf>
    <xf borderId="13" fillId="6" fontId="1" numFmtId="49" xfId="0" applyAlignment="1" applyBorder="1" applyFont="1" applyNumberFormat="1">
      <alignment horizontal="center" readingOrder="0" vertical="center"/>
    </xf>
    <xf borderId="20" fillId="6" fontId="1" numFmtId="4" xfId="0" applyAlignment="1" applyBorder="1" applyFont="1" applyNumberFormat="1">
      <alignment horizontal="center" readingOrder="0" vertical="center"/>
    </xf>
    <xf borderId="16" fillId="6" fontId="11" numFmtId="4" xfId="0" applyAlignment="1" applyBorder="1" applyFont="1" applyNumberFormat="1">
      <alignment horizontal="center"/>
    </xf>
    <xf borderId="21" fillId="0" fontId="3" numFmtId="0" xfId="0" applyBorder="1" applyFont="1"/>
    <xf borderId="16" fillId="6" fontId="11" numFmtId="4" xfId="0" applyAlignment="1" applyBorder="1" applyFont="1" applyNumberFormat="1">
      <alignment horizontal="center" readingOrder="0"/>
    </xf>
    <xf borderId="8" fillId="6" fontId="9" numFmtId="0" xfId="0" applyBorder="1" applyFont="1"/>
    <xf borderId="6" fillId="7" fontId="1" numFmtId="0" xfId="0" applyAlignment="1" applyBorder="1" applyFont="1">
      <alignment horizontal="center" readingOrder="0" vertical="center"/>
    </xf>
    <xf borderId="16" fillId="7" fontId="1" numFmtId="0" xfId="0" applyAlignment="1" applyBorder="1" applyFont="1">
      <alignment horizontal="center" readingOrder="0" vertical="center"/>
    </xf>
    <xf borderId="7" fillId="7" fontId="1" numFmtId="0" xfId="0" applyAlignment="1" applyBorder="1" applyFont="1">
      <alignment horizontal="center" readingOrder="0" vertical="center"/>
    </xf>
    <xf borderId="20" fillId="6" fontId="12" numFmtId="4" xfId="0" applyAlignment="1" applyBorder="1" applyFont="1" applyNumberFormat="1">
      <alignment horizontal="center"/>
    </xf>
    <xf borderId="13" fillId="6" fontId="1" numFmtId="4" xfId="0" applyAlignment="1" applyBorder="1" applyFont="1" applyNumberFormat="1">
      <alignment horizontal="center" readingOrder="0" vertical="center"/>
    </xf>
    <xf borderId="13" fillId="6" fontId="1" numFmtId="10" xfId="0" applyAlignment="1" applyBorder="1" applyFont="1" applyNumberFormat="1">
      <alignment horizontal="center" readingOrder="0" vertical="center"/>
    </xf>
    <xf borderId="22" fillId="6" fontId="1" numFmtId="49" xfId="0" applyAlignment="1" applyBorder="1" applyFont="1" applyNumberFormat="1">
      <alignment horizontal="center" readingOrder="0" vertical="center"/>
    </xf>
    <xf borderId="23" fillId="0" fontId="3" numFmtId="0" xfId="0" applyBorder="1" applyFont="1"/>
    <xf borderId="20" fillId="6" fontId="1" numFmtId="4" xfId="0" applyAlignment="1" applyBorder="1" applyFont="1" applyNumberFormat="1">
      <alignment horizontal="center"/>
    </xf>
    <xf borderId="13" fillId="6" fontId="1" numFmtId="4" xfId="0" applyAlignment="1" applyBorder="1" applyFont="1" applyNumberFormat="1">
      <alignment horizontal="center"/>
    </xf>
    <xf borderId="18" fillId="6" fontId="10" numFmtId="0" xfId="0" applyAlignment="1" applyBorder="1" applyFont="1">
      <alignment readingOrder="0"/>
    </xf>
    <xf borderId="0" fillId="8" fontId="1" numFmtId="0" xfId="0" applyFill="1" applyFont="1"/>
    <xf borderId="18" fillId="6" fontId="10" numFmtId="4" xfId="0" applyAlignment="1" applyBorder="1" applyFont="1" applyNumberFormat="1">
      <alignment horizontal="center" readingOrder="0"/>
    </xf>
    <xf borderId="18" fillId="6" fontId="10" numFmtId="0" xfId="0" applyAlignment="1" applyBorder="1" applyFont="1">
      <alignment horizontal="center" readingOrder="0"/>
    </xf>
    <xf borderId="12" fillId="6" fontId="1" numFmtId="49" xfId="0" applyAlignment="1" applyBorder="1" applyFont="1" applyNumberFormat="1">
      <alignment horizontal="center" readingOrder="0" vertical="center"/>
    </xf>
    <xf borderId="0" fillId="0" fontId="1" numFmtId="4" xfId="0" applyFont="1" applyNumberFormat="1"/>
    <xf borderId="1" fillId="7" fontId="13" numFmtId="0" xfId="0" applyAlignment="1" applyBorder="1" applyFont="1">
      <alignment horizontal="center" readingOrder="0" vertical="center"/>
    </xf>
    <xf borderId="4" fillId="7" fontId="13" numFmtId="0" xfId="0" applyAlignment="1" applyBorder="1" applyFont="1">
      <alignment horizontal="center" readingOrder="0" vertical="center"/>
    </xf>
    <xf borderId="6" fillId="7" fontId="14" numFmtId="0" xfId="0" applyAlignment="1" applyBorder="1" applyFont="1">
      <alignment horizontal="center" readingOrder="0" vertical="center"/>
    </xf>
    <xf borderId="1" fillId="7" fontId="14" numFmtId="0" xfId="0" applyAlignment="1" applyBorder="1" applyFont="1">
      <alignment horizontal="center" readingOrder="0" vertical="center"/>
    </xf>
    <xf borderId="0" fillId="8" fontId="14" numFmtId="0" xfId="0" applyAlignment="1" applyFont="1">
      <alignment readingOrder="0" vertical="bottom"/>
    </xf>
    <xf borderId="4" fillId="7" fontId="14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10.63"/>
    <col customWidth="1" min="3" max="4" width="13.13"/>
    <col customWidth="1" min="5" max="5" width="11.13"/>
    <col customWidth="1" min="6" max="6" width="3.88"/>
    <col customWidth="1" min="7" max="7" width="25.13"/>
    <col customWidth="1" min="8" max="8" width="10.13"/>
    <col customWidth="1" min="10" max="10" width="16.75"/>
    <col customWidth="1" min="11" max="11" width="10.63"/>
    <col customWidth="1" min="12" max="12" width="3.38"/>
    <col customWidth="1" min="13" max="13" width="28.38"/>
    <col customWidth="1" min="14" max="14" width="24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0</v>
      </c>
      <c r="B2" s="4"/>
      <c r="C2" s="5" t="s">
        <v>1</v>
      </c>
      <c r="D2" s="6">
        <v>45936.0</v>
      </c>
      <c r="E2" s="2"/>
      <c r="F2" s="2"/>
      <c r="G2" s="7" t="s">
        <v>2</v>
      </c>
      <c r="H2" s="4"/>
      <c r="I2" s="8" t="s">
        <v>1</v>
      </c>
      <c r="J2" s="9">
        <v>45936.0</v>
      </c>
      <c r="K2" s="2"/>
      <c r="L2" s="2"/>
      <c r="M2" s="10" t="s">
        <v>3</v>
      </c>
      <c r="N2" s="4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11" t="s">
        <v>4</v>
      </c>
      <c r="B3" s="12" t="s">
        <v>5</v>
      </c>
      <c r="C3" s="11" t="s">
        <v>6</v>
      </c>
      <c r="D3" s="11" t="s">
        <v>7</v>
      </c>
      <c r="E3" s="11" t="s">
        <v>8</v>
      </c>
      <c r="F3" s="2"/>
      <c r="G3" s="13" t="s">
        <v>4</v>
      </c>
      <c r="H3" s="14" t="s">
        <v>5</v>
      </c>
      <c r="I3" s="13" t="s">
        <v>6</v>
      </c>
      <c r="J3" s="14" t="s">
        <v>9</v>
      </c>
      <c r="K3" s="13" t="s">
        <v>8</v>
      </c>
      <c r="L3" s="2"/>
      <c r="M3" s="15" t="s">
        <v>4</v>
      </c>
      <c r="N3" s="15" t="s">
        <v>8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16" t="s">
        <v>10</v>
      </c>
      <c r="B5" s="17">
        <v>1870.0</v>
      </c>
      <c r="C5" s="18">
        <v>45875.0</v>
      </c>
      <c r="D5" s="18">
        <f t="shared" ref="D5:D17" si="1">C5+30</f>
        <v>45905</v>
      </c>
      <c r="E5" s="19">
        <v>950.0</v>
      </c>
      <c r="F5" s="2"/>
      <c r="G5" s="20" t="s">
        <v>11</v>
      </c>
      <c r="H5" s="21">
        <v>1906.0</v>
      </c>
      <c r="I5" s="22">
        <v>45904.0</v>
      </c>
      <c r="J5" s="22">
        <f t="shared" ref="J5:J6" si="2">I5+15</f>
        <v>45919</v>
      </c>
      <c r="K5" s="23">
        <v>1700.0</v>
      </c>
      <c r="L5" s="2"/>
      <c r="M5" s="24"/>
      <c r="N5" s="25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16" t="s">
        <v>12</v>
      </c>
      <c r="B6" s="17">
        <v>1884.0</v>
      </c>
      <c r="C6" s="18">
        <v>45890.0</v>
      </c>
      <c r="D6" s="18">
        <f t="shared" si="1"/>
        <v>45920</v>
      </c>
      <c r="E6" s="19">
        <v>1500.0</v>
      </c>
      <c r="F6" s="2"/>
      <c r="G6" s="20" t="s">
        <v>13</v>
      </c>
      <c r="H6" s="21">
        <v>1911.0</v>
      </c>
      <c r="I6" s="22">
        <v>45915.0</v>
      </c>
      <c r="J6" s="22">
        <f t="shared" si="2"/>
        <v>45930</v>
      </c>
      <c r="K6" s="23">
        <v>2550.0</v>
      </c>
      <c r="L6" s="2"/>
      <c r="M6" s="24" t="s">
        <v>14</v>
      </c>
      <c r="N6" s="25">
        <v>5300.0</v>
      </c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16" t="s">
        <v>15</v>
      </c>
      <c r="B7" s="17">
        <v>1886.0</v>
      </c>
      <c r="C7" s="18">
        <v>45890.0</v>
      </c>
      <c r="D7" s="18">
        <f t="shared" si="1"/>
        <v>45920</v>
      </c>
      <c r="E7" s="19">
        <v>1900.0</v>
      </c>
      <c r="F7" s="2"/>
      <c r="G7" s="20"/>
      <c r="H7" s="21"/>
      <c r="I7" s="22"/>
      <c r="J7" s="22"/>
      <c r="K7" s="23"/>
      <c r="L7" s="2"/>
      <c r="M7" s="24" t="s">
        <v>16</v>
      </c>
      <c r="N7" s="26">
        <v>12600.0</v>
      </c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16" t="s">
        <v>15</v>
      </c>
      <c r="B8" s="17">
        <v>1888.0</v>
      </c>
      <c r="C8" s="18">
        <v>45903.0</v>
      </c>
      <c r="D8" s="18">
        <f t="shared" si="1"/>
        <v>45933</v>
      </c>
      <c r="E8" s="19">
        <v>1900.0</v>
      </c>
      <c r="F8" s="2"/>
      <c r="G8" s="20"/>
      <c r="H8" s="21"/>
      <c r="I8" s="22"/>
      <c r="J8" s="22"/>
      <c r="K8" s="23"/>
      <c r="L8" s="2"/>
      <c r="M8" s="24" t="s">
        <v>17</v>
      </c>
      <c r="N8" s="25">
        <v>6600.0</v>
      </c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16" t="s">
        <v>15</v>
      </c>
      <c r="B9" s="17">
        <v>1889.0</v>
      </c>
      <c r="C9" s="18">
        <v>45903.0</v>
      </c>
      <c r="D9" s="18">
        <f t="shared" si="1"/>
        <v>45933</v>
      </c>
      <c r="E9" s="19">
        <v>5300.0</v>
      </c>
      <c r="F9" s="2"/>
      <c r="G9" s="27"/>
      <c r="H9" s="27"/>
      <c r="I9" s="28"/>
      <c r="J9" s="28"/>
      <c r="K9" s="29"/>
      <c r="L9" s="2"/>
      <c r="M9" s="24" t="s">
        <v>18</v>
      </c>
      <c r="N9" s="25">
        <v>19500.0</v>
      </c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16" t="s">
        <v>15</v>
      </c>
      <c r="B10" s="17">
        <v>1892.0</v>
      </c>
      <c r="C10" s="18">
        <v>45903.0</v>
      </c>
      <c r="D10" s="18">
        <f t="shared" si="1"/>
        <v>45933</v>
      </c>
      <c r="E10" s="19">
        <v>3400.0</v>
      </c>
      <c r="F10" s="2"/>
      <c r="G10" s="27"/>
      <c r="H10" s="27"/>
      <c r="I10" s="28"/>
      <c r="J10" s="28"/>
      <c r="K10" s="29"/>
      <c r="L10" s="2"/>
      <c r="M10" s="30" t="s">
        <v>19</v>
      </c>
      <c r="N10" s="25">
        <v>22150.0</v>
      </c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16" t="s">
        <v>15</v>
      </c>
      <c r="B11" s="17">
        <v>1893.0</v>
      </c>
      <c r="C11" s="18">
        <v>45903.0</v>
      </c>
      <c r="D11" s="18">
        <f t="shared" si="1"/>
        <v>45933</v>
      </c>
      <c r="E11" s="19">
        <v>1500.0</v>
      </c>
      <c r="F11" s="2"/>
      <c r="G11" s="27"/>
      <c r="H11" s="27"/>
      <c r="I11" s="28"/>
      <c r="J11" s="28"/>
      <c r="K11" s="29"/>
      <c r="L11" s="2"/>
      <c r="M11" s="30" t="s">
        <v>20</v>
      </c>
      <c r="N11" s="25">
        <v>20200.0</v>
      </c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16" t="s">
        <v>15</v>
      </c>
      <c r="B12" s="17">
        <v>1895.0</v>
      </c>
      <c r="C12" s="18">
        <v>45903.0</v>
      </c>
      <c r="D12" s="18">
        <f t="shared" si="1"/>
        <v>45933</v>
      </c>
      <c r="E12" s="19">
        <v>1500.0</v>
      </c>
      <c r="F12" s="2"/>
      <c r="G12" s="27"/>
      <c r="H12" s="27"/>
      <c r="I12" s="28"/>
      <c r="J12" s="28"/>
      <c r="K12" s="29"/>
      <c r="L12" s="2"/>
      <c r="M12" s="30" t="s">
        <v>21</v>
      </c>
      <c r="N12" s="26">
        <v>44850.0</v>
      </c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16" t="s">
        <v>15</v>
      </c>
      <c r="B13" s="17">
        <v>1896.0</v>
      </c>
      <c r="C13" s="18">
        <v>45903.0</v>
      </c>
      <c r="D13" s="18">
        <f t="shared" si="1"/>
        <v>45933</v>
      </c>
      <c r="E13" s="19">
        <v>750.0</v>
      </c>
      <c r="F13" s="2"/>
      <c r="G13" s="27"/>
      <c r="H13" s="27"/>
      <c r="I13" s="28"/>
      <c r="J13" s="28"/>
      <c r="K13" s="29"/>
      <c r="L13" s="2"/>
      <c r="M13" s="30" t="s">
        <v>22</v>
      </c>
      <c r="N13" s="26">
        <v>50250.0</v>
      </c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16" t="s">
        <v>15</v>
      </c>
      <c r="B14" s="17">
        <v>1898.0</v>
      </c>
      <c r="C14" s="18">
        <v>45903.0</v>
      </c>
      <c r="D14" s="18">
        <f t="shared" si="1"/>
        <v>45933</v>
      </c>
      <c r="E14" s="19">
        <v>1500.0</v>
      </c>
      <c r="F14" s="2"/>
      <c r="G14" s="27"/>
      <c r="H14" s="27"/>
      <c r="I14" s="28"/>
      <c r="J14" s="28"/>
      <c r="K14" s="29"/>
      <c r="L14" s="2"/>
      <c r="M14" s="30" t="s">
        <v>23</v>
      </c>
      <c r="N14" s="26">
        <v>50350.0</v>
      </c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16" t="s">
        <v>15</v>
      </c>
      <c r="B15" s="17">
        <v>1899.0</v>
      </c>
      <c r="C15" s="18">
        <v>45903.0</v>
      </c>
      <c r="D15" s="18">
        <f t="shared" si="1"/>
        <v>45933</v>
      </c>
      <c r="E15" s="19">
        <v>1500.0</v>
      </c>
      <c r="F15" s="2"/>
      <c r="G15" s="27"/>
      <c r="H15" s="31"/>
      <c r="I15" s="32"/>
      <c r="J15" s="32"/>
      <c r="K15" s="33"/>
      <c r="L15" s="2"/>
      <c r="M15" s="30" t="s">
        <v>24</v>
      </c>
      <c r="N15" s="26">
        <v>1500.0</v>
      </c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16" t="s">
        <v>25</v>
      </c>
      <c r="B16" s="17">
        <v>1901.0</v>
      </c>
      <c r="C16" s="18">
        <v>45903.0</v>
      </c>
      <c r="D16" s="18">
        <f t="shared" si="1"/>
        <v>45933</v>
      </c>
      <c r="E16" s="19">
        <v>1000.0</v>
      </c>
      <c r="F16" s="2"/>
      <c r="G16" s="27"/>
      <c r="H16" s="31"/>
      <c r="I16" s="32"/>
      <c r="J16" s="32"/>
      <c r="K16" s="33"/>
      <c r="L16" s="2"/>
      <c r="M16" s="30" t="s">
        <v>26</v>
      </c>
      <c r="N16" s="26">
        <v>8250.0</v>
      </c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16" t="s">
        <v>27</v>
      </c>
      <c r="B17" s="17">
        <v>1907.0</v>
      </c>
      <c r="C17" s="18">
        <v>45911.0</v>
      </c>
      <c r="D17" s="18">
        <f t="shared" si="1"/>
        <v>45941</v>
      </c>
      <c r="E17" s="19">
        <v>13950.0</v>
      </c>
      <c r="F17" s="2"/>
      <c r="G17" s="27"/>
      <c r="H17" s="31"/>
      <c r="I17" s="32"/>
      <c r="J17" s="32"/>
      <c r="K17" s="33"/>
      <c r="L17" s="2"/>
      <c r="M17" s="30" t="s">
        <v>28</v>
      </c>
      <c r="N17" s="34">
        <v>16200.0</v>
      </c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16" t="s">
        <v>15</v>
      </c>
      <c r="B18" s="17">
        <v>1913.0</v>
      </c>
      <c r="C18" s="18">
        <v>45918.0</v>
      </c>
      <c r="D18" s="18">
        <f t="shared" ref="D18:D19" si="3">C18+15</f>
        <v>45933</v>
      </c>
      <c r="E18" s="19">
        <v>3000.0</v>
      </c>
      <c r="F18" s="2"/>
      <c r="G18" s="27"/>
      <c r="H18" s="31"/>
      <c r="I18" s="32"/>
      <c r="J18" s="32"/>
      <c r="K18" s="33"/>
      <c r="L18" s="2"/>
      <c r="M18" s="30" t="s">
        <v>29</v>
      </c>
      <c r="N18" s="34">
        <v>8150.0</v>
      </c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16" t="s">
        <v>15</v>
      </c>
      <c r="B19" s="17">
        <v>1914.0</v>
      </c>
      <c r="C19" s="18">
        <v>45918.0</v>
      </c>
      <c r="D19" s="18">
        <f t="shared" si="3"/>
        <v>45933</v>
      </c>
      <c r="E19" s="19">
        <v>3950.0</v>
      </c>
      <c r="F19" s="2"/>
      <c r="G19" s="27"/>
      <c r="H19" s="31"/>
      <c r="I19" s="32"/>
      <c r="J19" s="32"/>
      <c r="K19" s="33"/>
      <c r="L19" s="2"/>
      <c r="M19" s="35" t="s">
        <v>30</v>
      </c>
      <c r="N19" s="34">
        <v>5000.0</v>
      </c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16" t="s">
        <v>15</v>
      </c>
      <c r="B20" s="17">
        <v>1915.0</v>
      </c>
      <c r="C20" s="18">
        <v>45922.0</v>
      </c>
      <c r="D20" s="18">
        <f t="shared" ref="D20:D45" si="4">C20+30</f>
        <v>45952</v>
      </c>
      <c r="E20" s="19">
        <v>1700.0</v>
      </c>
      <c r="F20" s="2"/>
      <c r="G20" s="27"/>
      <c r="H20" s="31"/>
      <c r="I20" s="32"/>
      <c r="J20" s="32"/>
      <c r="K20" s="33"/>
      <c r="L20" s="2"/>
      <c r="M20" s="35" t="s">
        <v>31</v>
      </c>
      <c r="N20" s="34">
        <v>2550.0</v>
      </c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16" t="s">
        <v>12</v>
      </c>
      <c r="B21" s="17">
        <v>1916.0</v>
      </c>
      <c r="C21" s="18">
        <v>45922.0</v>
      </c>
      <c r="D21" s="18">
        <f t="shared" si="4"/>
        <v>45952</v>
      </c>
      <c r="E21" s="19">
        <v>1900.0</v>
      </c>
      <c r="F21" s="2"/>
      <c r="G21" s="27"/>
      <c r="H21" s="31"/>
      <c r="I21" s="32"/>
      <c r="J21" s="32"/>
      <c r="K21" s="33"/>
      <c r="L21" s="2"/>
      <c r="M21" s="35"/>
      <c r="N21" s="34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16" t="s">
        <v>15</v>
      </c>
      <c r="B22" s="17">
        <v>1917.0</v>
      </c>
      <c r="C22" s="18">
        <v>45922.0</v>
      </c>
      <c r="D22" s="18">
        <f t="shared" si="4"/>
        <v>45952</v>
      </c>
      <c r="E22" s="19">
        <v>1700.0</v>
      </c>
      <c r="F22" s="2"/>
      <c r="G22" s="27"/>
      <c r="H22" s="31"/>
      <c r="I22" s="32"/>
      <c r="J22" s="32"/>
      <c r="K22" s="33"/>
      <c r="L22" s="2"/>
      <c r="M22" s="36"/>
      <c r="N22" s="36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16" t="s">
        <v>15</v>
      </c>
      <c r="B23" s="17">
        <v>1918.0</v>
      </c>
      <c r="C23" s="18">
        <v>45922.0</v>
      </c>
      <c r="D23" s="18">
        <f t="shared" si="4"/>
        <v>45952</v>
      </c>
      <c r="E23" s="19">
        <v>1900.0</v>
      </c>
      <c r="F23" s="2"/>
      <c r="G23" s="27"/>
      <c r="H23" s="31"/>
      <c r="I23" s="32"/>
      <c r="J23" s="32"/>
      <c r="K23" s="33"/>
      <c r="L23" s="2"/>
      <c r="M23" s="36"/>
      <c r="N23" s="36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16" t="s">
        <v>15</v>
      </c>
      <c r="B24" s="17">
        <v>1919.0</v>
      </c>
      <c r="C24" s="18">
        <v>45922.0</v>
      </c>
      <c r="D24" s="18">
        <f t="shared" si="4"/>
        <v>45952</v>
      </c>
      <c r="E24" s="19">
        <v>1900.0</v>
      </c>
      <c r="F24" s="2"/>
      <c r="G24" s="27"/>
      <c r="H24" s="31"/>
      <c r="I24" s="32"/>
      <c r="J24" s="32"/>
      <c r="K24" s="33"/>
      <c r="L24" s="2"/>
      <c r="M24" s="36"/>
      <c r="N24" s="36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16" t="s">
        <v>15</v>
      </c>
      <c r="B25" s="17">
        <v>1920.0</v>
      </c>
      <c r="C25" s="18">
        <v>45922.0</v>
      </c>
      <c r="D25" s="18">
        <f t="shared" si="4"/>
        <v>45952</v>
      </c>
      <c r="E25" s="19">
        <v>1700.0</v>
      </c>
      <c r="F25" s="2"/>
      <c r="G25" s="27"/>
      <c r="H25" s="31"/>
      <c r="I25" s="32"/>
      <c r="J25" s="32"/>
      <c r="K25" s="33"/>
      <c r="L25" s="2"/>
      <c r="M25" s="36"/>
      <c r="N25" s="36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16" t="s">
        <v>15</v>
      </c>
      <c r="B26" s="17">
        <v>1921.0</v>
      </c>
      <c r="C26" s="18">
        <v>45922.0</v>
      </c>
      <c r="D26" s="18">
        <f t="shared" si="4"/>
        <v>45952</v>
      </c>
      <c r="E26" s="19">
        <v>1900.0</v>
      </c>
      <c r="F26" s="2"/>
      <c r="G26" s="27"/>
      <c r="H26" s="31"/>
      <c r="I26" s="32"/>
      <c r="J26" s="32"/>
      <c r="K26" s="33"/>
      <c r="L26" s="2"/>
      <c r="M26" s="36"/>
      <c r="N26" s="36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16" t="s">
        <v>15</v>
      </c>
      <c r="B27" s="17">
        <v>1922.0</v>
      </c>
      <c r="C27" s="18">
        <v>45922.0</v>
      </c>
      <c r="D27" s="18">
        <f t="shared" si="4"/>
        <v>45952</v>
      </c>
      <c r="E27" s="19">
        <v>1900.0</v>
      </c>
      <c r="F27" s="2"/>
      <c r="G27" s="27"/>
      <c r="H27" s="31"/>
      <c r="I27" s="32"/>
      <c r="J27" s="32"/>
      <c r="K27" s="33"/>
      <c r="L27" s="2"/>
      <c r="M27" s="36"/>
      <c r="N27" s="36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16" t="s">
        <v>15</v>
      </c>
      <c r="B28" s="17">
        <v>1923.0</v>
      </c>
      <c r="C28" s="18">
        <v>45923.0</v>
      </c>
      <c r="D28" s="18">
        <f t="shared" si="4"/>
        <v>45953</v>
      </c>
      <c r="E28" s="19">
        <v>1700.0</v>
      </c>
      <c r="F28" s="2"/>
      <c r="G28" s="27"/>
      <c r="H28" s="31"/>
      <c r="I28" s="32"/>
      <c r="J28" s="32"/>
      <c r="K28" s="33"/>
      <c r="L28" s="2"/>
      <c r="M28" s="36"/>
      <c r="N28" s="36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16" t="s">
        <v>15</v>
      </c>
      <c r="B29" s="17">
        <v>1924.0</v>
      </c>
      <c r="C29" s="18">
        <v>45923.0</v>
      </c>
      <c r="D29" s="18">
        <f t="shared" si="4"/>
        <v>45953</v>
      </c>
      <c r="E29" s="19">
        <v>2250.0</v>
      </c>
      <c r="F29" s="2"/>
      <c r="G29" s="27"/>
      <c r="H29" s="31"/>
      <c r="I29" s="32"/>
      <c r="J29" s="32"/>
      <c r="K29" s="33"/>
      <c r="L29" s="2"/>
      <c r="M29" s="36"/>
      <c r="N29" s="36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16" t="s">
        <v>32</v>
      </c>
      <c r="B30" s="17">
        <v>1925.0</v>
      </c>
      <c r="C30" s="18">
        <v>45923.0</v>
      </c>
      <c r="D30" s="18">
        <f t="shared" si="4"/>
        <v>45953</v>
      </c>
      <c r="E30" s="19">
        <v>1500.0</v>
      </c>
      <c r="F30" s="2"/>
      <c r="G30" s="27"/>
      <c r="H30" s="31"/>
      <c r="I30" s="32"/>
      <c r="J30" s="32"/>
      <c r="K30" s="33"/>
      <c r="L30" s="2"/>
      <c r="M30" s="36"/>
      <c r="N30" s="36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16" t="s">
        <v>15</v>
      </c>
      <c r="B31" s="17">
        <v>1926.0</v>
      </c>
      <c r="C31" s="18">
        <v>45923.0</v>
      </c>
      <c r="D31" s="18">
        <f t="shared" si="4"/>
        <v>45953</v>
      </c>
      <c r="E31" s="19">
        <v>1900.0</v>
      </c>
      <c r="F31" s="2"/>
      <c r="G31" s="27"/>
      <c r="H31" s="31"/>
      <c r="I31" s="32"/>
      <c r="J31" s="32"/>
      <c r="K31" s="33"/>
      <c r="L31" s="2"/>
      <c r="M31" s="36"/>
      <c r="N31" s="36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16" t="s">
        <v>33</v>
      </c>
      <c r="B32" s="17">
        <v>1927.0</v>
      </c>
      <c r="C32" s="18">
        <v>45923.0</v>
      </c>
      <c r="D32" s="18">
        <f t="shared" si="4"/>
        <v>45953</v>
      </c>
      <c r="E32" s="19">
        <v>7450.0</v>
      </c>
      <c r="F32" s="2"/>
      <c r="G32" s="27"/>
      <c r="H32" s="31"/>
      <c r="I32" s="32"/>
      <c r="J32" s="32"/>
      <c r="K32" s="33"/>
      <c r="L32" s="2"/>
      <c r="M32" s="36"/>
      <c r="N32" s="36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16" t="s">
        <v>15</v>
      </c>
      <c r="B33" s="17">
        <v>1928.0</v>
      </c>
      <c r="C33" s="18">
        <v>45926.0</v>
      </c>
      <c r="D33" s="18">
        <f t="shared" si="4"/>
        <v>45956</v>
      </c>
      <c r="E33" s="19">
        <v>1700.0</v>
      </c>
      <c r="F33" s="2"/>
      <c r="G33" s="27"/>
      <c r="H33" s="31"/>
      <c r="I33" s="32"/>
      <c r="J33" s="32"/>
      <c r="K33" s="33"/>
      <c r="L33" s="2"/>
      <c r="M33" s="36"/>
      <c r="N33" s="36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16" t="s">
        <v>15</v>
      </c>
      <c r="B34" s="17">
        <v>1929.0</v>
      </c>
      <c r="C34" s="18">
        <v>45926.0</v>
      </c>
      <c r="D34" s="18">
        <f t="shared" si="4"/>
        <v>45956</v>
      </c>
      <c r="E34" s="19">
        <v>750.0</v>
      </c>
      <c r="F34" s="2"/>
      <c r="G34" s="27"/>
      <c r="H34" s="31"/>
      <c r="I34" s="32"/>
      <c r="J34" s="32"/>
      <c r="K34" s="33"/>
      <c r="L34" s="2"/>
      <c r="M34" s="36"/>
      <c r="N34" s="36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16" t="s">
        <v>15</v>
      </c>
      <c r="B35" s="17">
        <v>1930.0</v>
      </c>
      <c r="C35" s="18">
        <v>45926.0</v>
      </c>
      <c r="D35" s="18">
        <f t="shared" si="4"/>
        <v>45956</v>
      </c>
      <c r="E35" s="19">
        <v>1900.0</v>
      </c>
      <c r="F35" s="2"/>
      <c r="G35" s="27"/>
      <c r="H35" s="31"/>
      <c r="I35" s="32"/>
      <c r="J35" s="32"/>
      <c r="K35" s="33"/>
      <c r="L35" s="2"/>
      <c r="M35" s="36"/>
      <c r="N35" s="36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16" t="s">
        <v>27</v>
      </c>
      <c r="B36" s="17">
        <v>1.0</v>
      </c>
      <c r="C36" s="18">
        <v>45933.0</v>
      </c>
      <c r="D36" s="18">
        <f t="shared" si="4"/>
        <v>45963</v>
      </c>
      <c r="E36" s="19">
        <v>12400.0</v>
      </c>
      <c r="F36" s="2"/>
      <c r="G36" s="27"/>
      <c r="H36" s="31"/>
      <c r="I36" s="32"/>
      <c r="J36" s="32"/>
      <c r="K36" s="33"/>
      <c r="L36" s="2"/>
      <c r="M36" s="36"/>
      <c r="N36" s="36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16" t="s">
        <v>32</v>
      </c>
      <c r="B37" s="17">
        <v>2.0</v>
      </c>
      <c r="C37" s="18">
        <v>45933.0</v>
      </c>
      <c r="D37" s="18">
        <f t="shared" si="4"/>
        <v>45963</v>
      </c>
      <c r="E37" s="19">
        <v>3000.0</v>
      </c>
      <c r="F37" s="2"/>
      <c r="G37" s="27"/>
      <c r="H37" s="31"/>
      <c r="I37" s="32"/>
      <c r="J37" s="32"/>
      <c r="K37" s="33"/>
      <c r="L37" s="2"/>
      <c r="M37" s="36"/>
      <c r="N37" s="36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16" t="s">
        <v>32</v>
      </c>
      <c r="B38" s="17">
        <v>3.0</v>
      </c>
      <c r="C38" s="18">
        <v>45933.0</v>
      </c>
      <c r="D38" s="18">
        <f t="shared" si="4"/>
        <v>45963</v>
      </c>
      <c r="E38" s="19">
        <v>3000.0</v>
      </c>
      <c r="F38" s="2"/>
      <c r="G38" s="27"/>
      <c r="H38" s="31"/>
      <c r="I38" s="32"/>
      <c r="J38" s="32"/>
      <c r="K38" s="33"/>
      <c r="L38" s="2"/>
      <c r="M38" s="36"/>
      <c r="N38" s="36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16" t="s">
        <v>32</v>
      </c>
      <c r="B39" s="17">
        <v>4.0</v>
      </c>
      <c r="C39" s="18">
        <v>45936.0</v>
      </c>
      <c r="D39" s="18">
        <f t="shared" si="4"/>
        <v>45966</v>
      </c>
      <c r="E39" s="19">
        <v>4500.0</v>
      </c>
      <c r="F39" s="2"/>
      <c r="G39" s="27"/>
      <c r="H39" s="31"/>
      <c r="I39" s="32"/>
      <c r="J39" s="32"/>
      <c r="K39" s="33"/>
      <c r="L39" s="2"/>
      <c r="M39" s="36"/>
      <c r="N39" s="36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16" t="s">
        <v>32</v>
      </c>
      <c r="B40" s="17">
        <v>5.0</v>
      </c>
      <c r="C40" s="18">
        <v>45936.0</v>
      </c>
      <c r="D40" s="18">
        <f t="shared" si="4"/>
        <v>45966</v>
      </c>
      <c r="E40" s="19">
        <v>1500.0</v>
      </c>
      <c r="F40" s="2"/>
      <c r="G40" s="27"/>
      <c r="H40" s="31"/>
      <c r="I40" s="32"/>
      <c r="J40" s="32"/>
      <c r="K40" s="33"/>
      <c r="L40" s="2"/>
      <c r="M40" s="36"/>
      <c r="N40" s="36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16" t="s">
        <v>15</v>
      </c>
      <c r="B41" s="17">
        <v>6.0</v>
      </c>
      <c r="C41" s="18">
        <v>45936.0</v>
      </c>
      <c r="D41" s="18">
        <f t="shared" si="4"/>
        <v>45966</v>
      </c>
      <c r="E41" s="19">
        <v>1500.0</v>
      </c>
      <c r="F41" s="2"/>
      <c r="G41" s="27"/>
      <c r="H41" s="31"/>
      <c r="I41" s="32"/>
      <c r="J41" s="32"/>
      <c r="K41" s="33"/>
      <c r="L41" s="2"/>
      <c r="M41" s="36"/>
      <c r="N41" s="36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16" t="s">
        <v>12</v>
      </c>
      <c r="B42" s="17">
        <v>7.0</v>
      </c>
      <c r="C42" s="18">
        <v>45936.0</v>
      </c>
      <c r="D42" s="18">
        <f t="shared" si="4"/>
        <v>45966</v>
      </c>
      <c r="E42" s="19">
        <v>1500.0</v>
      </c>
      <c r="F42" s="2"/>
      <c r="G42" s="27"/>
      <c r="H42" s="31"/>
      <c r="I42" s="32"/>
      <c r="J42" s="32"/>
      <c r="K42" s="33"/>
      <c r="L42" s="2"/>
      <c r="M42" s="36"/>
      <c r="N42" s="36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16" t="s">
        <v>15</v>
      </c>
      <c r="B43" s="17">
        <v>8.0</v>
      </c>
      <c r="C43" s="18">
        <v>45936.0</v>
      </c>
      <c r="D43" s="18">
        <f t="shared" si="4"/>
        <v>45966</v>
      </c>
      <c r="E43" s="19">
        <v>750.0</v>
      </c>
      <c r="F43" s="2"/>
      <c r="G43" s="27"/>
      <c r="H43" s="31"/>
      <c r="I43" s="32"/>
      <c r="J43" s="32"/>
      <c r="K43" s="33"/>
      <c r="L43" s="2"/>
      <c r="M43" s="36"/>
      <c r="N43" s="36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16" t="s">
        <v>34</v>
      </c>
      <c r="B44" s="17">
        <v>9.0</v>
      </c>
      <c r="C44" s="18">
        <v>45936.0</v>
      </c>
      <c r="D44" s="18">
        <f t="shared" si="4"/>
        <v>45966</v>
      </c>
      <c r="E44" s="19">
        <v>1900.0</v>
      </c>
      <c r="F44" s="2"/>
      <c r="G44" s="27"/>
      <c r="H44" s="31"/>
      <c r="I44" s="32"/>
      <c r="J44" s="32"/>
      <c r="K44" s="33"/>
      <c r="L44" s="2"/>
      <c r="M44" s="36"/>
      <c r="N44" s="36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16" t="s">
        <v>15</v>
      </c>
      <c r="B45" s="17">
        <v>10.0</v>
      </c>
      <c r="C45" s="18">
        <v>45936.0</v>
      </c>
      <c r="D45" s="18">
        <f t="shared" si="4"/>
        <v>45966</v>
      </c>
      <c r="E45" s="19">
        <v>1500.0</v>
      </c>
      <c r="F45" s="2"/>
      <c r="G45" s="27"/>
      <c r="H45" s="31"/>
      <c r="I45" s="32"/>
      <c r="J45" s="32"/>
      <c r="K45" s="33"/>
      <c r="L45" s="2"/>
      <c r="M45" s="36"/>
      <c r="N45" s="36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16"/>
      <c r="B46" s="17"/>
      <c r="C46" s="18"/>
      <c r="D46" s="18"/>
      <c r="E46" s="19"/>
      <c r="F46" s="2"/>
      <c r="G46" s="27"/>
      <c r="H46" s="31"/>
      <c r="I46" s="32"/>
      <c r="J46" s="32"/>
      <c r="K46" s="33"/>
      <c r="L46" s="2"/>
      <c r="M46" s="36"/>
      <c r="N46" s="36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16"/>
      <c r="B47" s="17"/>
      <c r="C47" s="18"/>
      <c r="D47" s="18"/>
      <c r="E47" s="19"/>
      <c r="F47" s="2"/>
      <c r="G47" s="27"/>
      <c r="H47" s="31"/>
      <c r="I47" s="32"/>
      <c r="J47" s="32"/>
      <c r="K47" s="33"/>
      <c r="L47" s="2"/>
      <c r="M47" s="36"/>
      <c r="N47" s="36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37"/>
      <c r="B48" s="37"/>
      <c r="C48" s="38"/>
      <c r="D48" s="38"/>
      <c r="E48" s="39"/>
      <c r="F48" s="2"/>
      <c r="G48" s="27"/>
      <c r="H48" s="31"/>
      <c r="I48" s="32"/>
      <c r="J48" s="32"/>
      <c r="K48" s="33"/>
      <c r="L48" s="2"/>
      <c r="M48" s="36"/>
      <c r="N48" s="36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40" t="s">
        <v>35</v>
      </c>
      <c r="B49" s="41"/>
      <c r="C49" s="41"/>
      <c r="D49" s="41"/>
      <c r="E49" s="42">
        <f>SUM(E5:E48)</f>
        <v>108900</v>
      </c>
      <c r="F49" s="2"/>
      <c r="G49" s="43" t="s">
        <v>35</v>
      </c>
      <c r="H49" s="44"/>
      <c r="I49" s="44"/>
      <c r="J49" s="44"/>
      <c r="K49" s="45">
        <f>SUM(K5:K14)</f>
        <v>4250</v>
      </c>
      <c r="L49" s="2"/>
      <c r="M49" s="46" t="s">
        <v>35</v>
      </c>
      <c r="N49" s="47">
        <f>SUM(N5:N48)</f>
        <v>273450</v>
      </c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48"/>
      <c r="N51" s="49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50"/>
      <c r="N52" s="51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</row>
  </sheetData>
  <mergeCells count="4">
    <mergeCell ref="A2:B2"/>
    <mergeCell ref="G2:H2"/>
    <mergeCell ref="M2:N2"/>
    <mergeCell ref="M51:N5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1.5"/>
    <col customWidth="1" min="2" max="13" width="13.88"/>
  </cols>
  <sheetData>
    <row r="1">
      <c r="E1" s="2"/>
      <c r="F1" s="2"/>
      <c r="G1" s="2"/>
      <c r="H1" s="2"/>
      <c r="I1" s="2"/>
      <c r="J1" s="2"/>
      <c r="K1" s="2"/>
      <c r="L1" s="2"/>
      <c r="M1" s="2"/>
    </row>
    <row r="2">
      <c r="B2" s="52" t="s">
        <v>36</v>
      </c>
      <c r="E2" s="2"/>
      <c r="F2" s="2"/>
      <c r="G2" s="2"/>
      <c r="H2" s="2"/>
      <c r="I2" s="2"/>
      <c r="J2" s="2"/>
      <c r="K2" s="2"/>
      <c r="L2" s="2"/>
      <c r="M2" s="2"/>
    </row>
    <row r="3">
      <c r="B3" s="53" t="s">
        <v>37</v>
      </c>
      <c r="C3" s="4"/>
      <c r="D3" s="53" t="s">
        <v>38</v>
      </c>
      <c r="E3" s="4"/>
      <c r="F3" s="54" t="s">
        <v>39</v>
      </c>
      <c r="G3" s="4"/>
      <c r="H3" s="2"/>
      <c r="I3" s="2"/>
      <c r="J3" s="2"/>
      <c r="K3" s="55"/>
      <c r="L3" s="2"/>
      <c r="M3" s="2"/>
    </row>
    <row r="4">
      <c r="B4" s="56">
        <f>B17+E17+H17+K17+B35+E35+H35+K35+B58+E58+H58+K58</f>
        <v>766300</v>
      </c>
      <c r="C4" s="4"/>
      <c r="D4" s="57">
        <f>B19+B20+B21+E19+E20+E21+H19+H20+H21+K19+K20+K21+B37+B38+B39+E37+E38+E39+H37+H38+H39+K37+K38+K39+B60+B61+B62+E60+E61+E62+H60+H61+H62+K60+K61+K62</f>
        <v>486</v>
      </c>
      <c r="E4" s="4"/>
      <c r="F4" s="58">
        <f>D4/9</f>
        <v>54</v>
      </c>
      <c r="G4" s="4"/>
      <c r="H4" s="2"/>
      <c r="I4" s="2"/>
      <c r="J4" s="2"/>
      <c r="K4" s="2"/>
      <c r="L4" s="2"/>
      <c r="M4" s="2"/>
    </row>
    <row r="5">
      <c r="F5" s="2"/>
      <c r="G5" s="2"/>
      <c r="H5" s="2"/>
      <c r="I5" s="2"/>
      <c r="J5" s="2"/>
      <c r="K5" s="2"/>
      <c r="L5" s="2"/>
      <c r="M5" s="2"/>
    </row>
    <row r="6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>
      <c r="A7" s="59"/>
      <c r="B7" s="60" t="s">
        <v>15</v>
      </c>
      <c r="C7" s="61"/>
      <c r="D7" s="62"/>
      <c r="E7" s="63" t="s">
        <v>40</v>
      </c>
      <c r="F7" s="61"/>
      <c r="G7" s="62"/>
      <c r="H7" s="63" t="s">
        <v>41</v>
      </c>
      <c r="I7" s="61"/>
      <c r="J7" s="62"/>
      <c r="K7" s="63" t="s">
        <v>42</v>
      </c>
      <c r="L7" s="61"/>
      <c r="M7" s="62"/>
    </row>
    <row r="8">
      <c r="B8" s="64" t="s">
        <v>43</v>
      </c>
      <c r="E8" s="64" t="s">
        <v>43</v>
      </c>
      <c r="H8" s="64" t="s">
        <v>43</v>
      </c>
      <c r="K8" s="64" t="s">
        <v>43</v>
      </c>
    </row>
    <row r="9">
      <c r="B9" s="65" t="s">
        <v>44</v>
      </c>
      <c r="C9" s="66"/>
      <c r="D9" s="49"/>
      <c r="E9" s="67" t="s">
        <v>45</v>
      </c>
      <c r="F9" s="68"/>
      <c r="G9" s="4"/>
      <c r="H9" s="67" t="s">
        <v>46</v>
      </c>
      <c r="I9" s="68"/>
      <c r="J9" s="4"/>
      <c r="K9" s="65" t="s">
        <v>47</v>
      </c>
      <c r="L9" s="66"/>
      <c r="M9" s="49"/>
    </row>
    <row r="10">
      <c r="B10" s="69"/>
      <c r="D10" s="70"/>
      <c r="E10" s="67" t="s">
        <v>48</v>
      </c>
      <c r="F10" s="68"/>
      <c r="G10" s="4"/>
      <c r="H10" s="67" t="s">
        <v>49</v>
      </c>
      <c r="I10" s="68"/>
      <c r="J10" s="4"/>
      <c r="K10" s="69"/>
      <c r="M10" s="70"/>
    </row>
    <row r="11">
      <c r="B11" s="50"/>
      <c r="C11" s="71"/>
      <c r="D11" s="51"/>
      <c r="E11" s="67" t="s">
        <v>50</v>
      </c>
      <c r="F11" s="68"/>
      <c r="G11" s="4"/>
      <c r="H11" s="72"/>
      <c r="I11" s="68"/>
      <c r="J11" s="4"/>
      <c r="K11" s="50"/>
      <c r="L11" s="71"/>
      <c r="M11" s="51"/>
    </row>
    <row r="1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>
      <c r="A13" s="73" t="s">
        <v>51</v>
      </c>
      <c r="B13" s="74" t="s">
        <v>52</v>
      </c>
      <c r="C13" s="75" t="s">
        <v>53</v>
      </c>
      <c r="D13" s="76" t="s">
        <v>54</v>
      </c>
      <c r="E13" s="77" t="s">
        <v>52</v>
      </c>
      <c r="F13" s="75" t="s">
        <v>53</v>
      </c>
      <c r="G13" s="76" t="s">
        <v>54</v>
      </c>
      <c r="H13" s="78" t="s">
        <v>55</v>
      </c>
      <c r="I13" s="68"/>
      <c r="J13" s="79"/>
      <c r="K13" s="77" t="s">
        <v>52</v>
      </c>
      <c r="L13" s="75" t="s">
        <v>53</v>
      </c>
      <c r="M13" s="76" t="s">
        <v>54</v>
      </c>
    </row>
    <row r="14">
      <c r="A14" s="73" t="s">
        <v>56</v>
      </c>
      <c r="B14" s="80">
        <v>1200.0</v>
      </c>
      <c r="C14" s="81">
        <v>1500.0</v>
      </c>
      <c r="D14" s="82">
        <v>1700.0</v>
      </c>
      <c r="E14" s="83">
        <v>1000.0</v>
      </c>
      <c r="F14" s="81">
        <v>1500.0</v>
      </c>
      <c r="G14" s="82">
        <v>1700.0</v>
      </c>
      <c r="H14" s="83">
        <v>1500.0</v>
      </c>
      <c r="I14" s="81">
        <v>1500.0</v>
      </c>
      <c r="J14" s="82">
        <v>1500.0</v>
      </c>
      <c r="K14" s="83">
        <v>1300.0</v>
      </c>
      <c r="L14" s="81">
        <v>1500.0</v>
      </c>
      <c r="M14" s="82">
        <v>1800.0</v>
      </c>
    </row>
    <row r="15">
      <c r="A15" s="73" t="s">
        <v>57</v>
      </c>
      <c r="B15" s="80">
        <v>1500.0</v>
      </c>
      <c r="C15" s="81">
        <v>1700.0</v>
      </c>
      <c r="D15" s="82">
        <v>1900.0</v>
      </c>
      <c r="E15" s="83">
        <v>1000.0</v>
      </c>
      <c r="F15" s="81">
        <v>1500.0</v>
      </c>
      <c r="G15" s="82">
        <v>1700.0</v>
      </c>
      <c r="H15" s="83">
        <v>1800.0</v>
      </c>
      <c r="I15" s="81">
        <v>1800.0</v>
      </c>
      <c r="J15" s="82">
        <v>1800.0</v>
      </c>
      <c r="K15" s="83">
        <v>1500.0</v>
      </c>
      <c r="L15" s="81">
        <v>1800.0</v>
      </c>
      <c r="M15" s="82">
        <v>2100.0</v>
      </c>
    </row>
    <row r="16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>
      <c r="A17" s="84" t="s">
        <v>58</v>
      </c>
      <c r="B17" s="85">
        <f>18100+39650+39800+49300+38300+46600+50850+53250+50350</f>
        <v>386200</v>
      </c>
      <c r="C17" s="68"/>
      <c r="D17" s="79"/>
      <c r="E17" s="86">
        <f>1850+2000+1750+5000+4000+1000+2250+1500</f>
        <v>19350</v>
      </c>
      <c r="F17" s="68"/>
      <c r="G17" s="79"/>
      <c r="H17" s="86">
        <f>12600+450+3000+1800+3300+2700+4500+8250</f>
        <v>36600</v>
      </c>
      <c r="I17" s="68"/>
      <c r="J17" s="79"/>
      <c r="K17" s="86">
        <v>1800.0</v>
      </c>
      <c r="L17" s="68"/>
      <c r="M17" s="79"/>
    </row>
    <row r="18">
      <c r="A18" s="87" t="s">
        <v>59</v>
      </c>
      <c r="B18" s="88">
        <f>B17/B4</f>
        <v>0.5039801644</v>
      </c>
      <c r="C18" s="68"/>
      <c r="D18" s="79"/>
      <c r="E18" s="88">
        <f>E17/B4</f>
        <v>0.0252512071</v>
      </c>
      <c r="F18" s="68"/>
      <c r="G18" s="79"/>
      <c r="H18" s="88">
        <f>H17/B4</f>
        <v>0.04776197312</v>
      </c>
      <c r="I18" s="68"/>
      <c r="J18" s="79"/>
      <c r="K18" s="88">
        <f>K17/B4</f>
        <v>0.002348949498</v>
      </c>
      <c r="L18" s="68"/>
      <c r="M18" s="79"/>
    </row>
    <row r="19">
      <c r="A19" s="84" t="s">
        <v>56</v>
      </c>
      <c r="B19" s="89">
        <f>1+1+1+3+1+3</f>
        <v>10</v>
      </c>
      <c r="C19" s="68"/>
      <c r="D19" s="79"/>
      <c r="E19" s="90">
        <f>2+2+1+4+4+1+2+1</f>
        <v>17</v>
      </c>
      <c r="F19" s="68"/>
      <c r="G19" s="79"/>
      <c r="H19" s="90">
        <f>6+2+3+1+3+5</f>
        <v>20</v>
      </c>
      <c r="I19" s="68"/>
      <c r="J19" s="79"/>
      <c r="K19" s="90"/>
      <c r="L19" s="68"/>
      <c r="M19" s="79"/>
    </row>
    <row r="20">
      <c r="A20" s="84" t="s">
        <v>57</v>
      </c>
      <c r="B20" s="89">
        <f>10+23+21+25+21+24+24+27+25</f>
        <v>200</v>
      </c>
      <c r="C20" s="68"/>
      <c r="D20" s="79"/>
      <c r="E20" s="90"/>
      <c r="F20" s="68"/>
      <c r="G20" s="79"/>
      <c r="H20" s="90">
        <f>2+1+7+1+1</f>
        <v>12</v>
      </c>
      <c r="I20" s="68"/>
      <c r="J20" s="79"/>
      <c r="K20" s="90" t="s">
        <v>60</v>
      </c>
      <c r="L20" s="68"/>
      <c r="M20" s="79"/>
    </row>
    <row r="21">
      <c r="A21" s="84" t="s">
        <v>61</v>
      </c>
      <c r="B21" s="89">
        <f>2+1+6+6+4+4+5+5+9</f>
        <v>42</v>
      </c>
      <c r="C21" s="68"/>
      <c r="D21" s="79"/>
      <c r="E21" s="89">
        <f>1+1</f>
        <v>2</v>
      </c>
      <c r="F21" s="68"/>
      <c r="G21" s="79"/>
      <c r="H21" s="89">
        <f>1+1+1</f>
        <v>3</v>
      </c>
      <c r="I21" s="68"/>
      <c r="J21" s="79"/>
      <c r="K21" s="89"/>
      <c r="L21" s="68"/>
      <c r="M21" s="79"/>
    </row>
    <row r="22">
      <c r="A22" s="84" t="s">
        <v>62</v>
      </c>
      <c r="B22" s="91">
        <f>B17/(B19+B20+B21)</f>
        <v>1532.539683</v>
      </c>
      <c r="C22" s="68"/>
      <c r="D22" s="79"/>
      <c r="E22" s="92">
        <f>E17/(E19+E20+E21)</f>
        <v>1018.421053</v>
      </c>
      <c r="F22" s="71"/>
      <c r="G22" s="93"/>
      <c r="H22" s="94">
        <f>H17/(H19+H20+H21)</f>
        <v>1045.714286</v>
      </c>
      <c r="I22" s="71"/>
      <c r="J22" s="93"/>
      <c r="K22" s="94">
        <f>K17/(K19+K20+K21)</f>
        <v>1800</v>
      </c>
      <c r="L22" s="71"/>
      <c r="M22" s="93"/>
    </row>
    <row r="2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>
      <c r="A25" s="95"/>
      <c r="B25" s="60" t="s">
        <v>63</v>
      </c>
      <c r="C25" s="61"/>
      <c r="D25" s="62"/>
      <c r="E25" s="63" t="s">
        <v>64</v>
      </c>
      <c r="F25" s="61"/>
      <c r="G25" s="62"/>
      <c r="H25" s="63" t="s">
        <v>65</v>
      </c>
      <c r="I25" s="61"/>
      <c r="J25" s="62"/>
      <c r="K25" s="63" t="s">
        <v>66</v>
      </c>
      <c r="L25" s="61"/>
      <c r="M25" s="62"/>
    </row>
    <row r="26">
      <c r="B26" s="64" t="s">
        <v>43</v>
      </c>
      <c r="E26" s="64" t="s">
        <v>43</v>
      </c>
      <c r="H26" s="64" t="s">
        <v>43</v>
      </c>
      <c r="K26" s="64" t="s">
        <v>43</v>
      </c>
    </row>
    <row r="27">
      <c r="B27" s="67" t="s">
        <v>67</v>
      </c>
      <c r="C27" s="68"/>
      <c r="D27" s="4"/>
      <c r="E27" s="67" t="s">
        <v>68</v>
      </c>
      <c r="F27" s="68"/>
      <c r="G27" s="4"/>
      <c r="H27" s="67" t="s">
        <v>69</v>
      </c>
      <c r="I27" s="68"/>
      <c r="J27" s="4"/>
      <c r="K27" s="67" t="s">
        <v>69</v>
      </c>
      <c r="L27" s="68"/>
      <c r="M27" s="4"/>
    </row>
    <row r="28">
      <c r="B28" s="67" t="s">
        <v>70</v>
      </c>
      <c r="C28" s="68"/>
      <c r="D28" s="4"/>
      <c r="E28" s="67" t="s">
        <v>71</v>
      </c>
      <c r="F28" s="68"/>
      <c r="G28" s="4"/>
      <c r="H28" s="67" t="s">
        <v>72</v>
      </c>
      <c r="I28" s="68"/>
      <c r="J28" s="4"/>
      <c r="K28" s="67" t="s">
        <v>73</v>
      </c>
      <c r="L28" s="68"/>
      <c r="M28" s="4"/>
    </row>
    <row r="29">
      <c r="B29" s="67" t="s">
        <v>74</v>
      </c>
      <c r="C29" s="68"/>
      <c r="D29" s="4"/>
      <c r="E29" s="67" t="s">
        <v>75</v>
      </c>
      <c r="F29" s="68"/>
      <c r="G29" s="4"/>
      <c r="H29" s="72"/>
      <c r="I29" s="68"/>
      <c r="J29" s="4"/>
      <c r="K29" s="96"/>
      <c r="L29" s="97"/>
      <c r="M29" s="98"/>
    </row>
    <row r="30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>
      <c r="A31" s="73" t="s">
        <v>51</v>
      </c>
      <c r="B31" s="74" t="s">
        <v>52</v>
      </c>
      <c r="C31" s="75" t="s">
        <v>53</v>
      </c>
      <c r="D31" s="76" t="s">
        <v>54</v>
      </c>
      <c r="E31" s="99" t="s">
        <v>52</v>
      </c>
      <c r="F31" s="68"/>
      <c r="G31" s="79"/>
      <c r="H31" s="78" t="s">
        <v>55</v>
      </c>
      <c r="I31" s="68"/>
      <c r="J31" s="79"/>
      <c r="K31" s="78" t="s">
        <v>55</v>
      </c>
      <c r="L31" s="68"/>
      <c r="M31" s="79"/>
    </row>
    <row r="32">
      <c r="A32" s="73" t="s">
        <v>56</v>
      </c>
      <c r="B32" s="80">
        <v>1300.0</v>
      </c>
      <c r="C32" s="81">
        <v>1500.0</v>
      </c>
      <c r="D32" s="82">
        <v>1800.0</v>
      </c>
      <c r="E32" s="83">
        <v>1300.0</v>
      </c>
      <c r="F32" s="81">
        <v>1500.0</v>
      </c>
      <c r="G32" s="82">
        <v>1800.0</v>
      </c>
      <c r="H32" s="100">
        <v>1850.0</v>
      </c>
      <c r="I32" s="68"/>
      <c r="J32" s="79"/>
      <c r="K32" s="100">
        <v>1850.0</v>
      </c>
      <c r="L32" s="68"/>
      <c r="M32" s="79"/>
    </row>
    <row r="33">
      <c r="A33" s="73" t="s">
        <v>57</v>
      </c>
      <c r="B33" s="80">
        <v>1600.0</v>
      </c>
      <c r="C33" s="81">
        <v>1800.0</v>
      </c>
      <c r="D33" s="82">
        <v>2000.0</v>
      </c>
      <c r="E33" s="83">
        <v>1600.0</v>
      </c>
      <c r="F33" s="81">
        <v>1800.0</v>
      </c>
      <c r="G33" s="82">
        <v>2000.0</v>
      </c>
      <c r="H33" s="100">
        <v>2400.0</v>
      </c>
      <c r="I33" s="68"/>
      <c r="J33" s="79"/>
      <c r="K33" s="100">
        <v>2400.0</v>
      </c>
      <c r="L33" s="68"/>
      <c r="M33" s="79"/>
    </row>
    <row r="34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>
      <c r="A35" s="84" t="s">
        <v>58</v>
      </c>
      <c r="B35" s="85">
        <f>5300+20600+14300+22600+21600+28200+10550+7450+16200</f>
        <v>146800</v>
      </c>
      <c r="C35" s="68"/>
      <c r="D35" s="79"/>
      <c r="E35" s="86">
        <f>1600+6200+6400+2800+8400</f>
        <v>25400</v>
      </c>
      <c r="F35" s="68"/>
      <c r="G35" s="79"/>
      <c r="H35" s="86">
        <f>3700+11650+4800+23100+9600+13950+12400+8150</f>
        <v>87350</v>
      </c>
      <c r="I35" s="68"/>
      <c r="J35" s="79"/>
      <c r="K35" s="86"/>
      <c r="L35" s="68"/>
      <c r="M35" s="79"/>
    </row>
    <row r="36">
      <c r="A36" s="87" t="s">
        <v>59</v>
      </c>
      <c r="B36" s="88">
        <f>B35/B4</f>
        <v>0.1915698812</v>
      </c>
      <c r="C36" s="68"/>
      <c r="D36" s="79"/>
      <c r="E36" s="101">
        <f>E35/B4</f>
        <v>0.03314628735</v>
      </c>
      <c r="F36" s="68"/>
      <c r="G36" s="79"/>
      <c r="H36" s="101">
        <f>H35/B4</f>
        <v>0.1139892992</v>
      </c>
      <c r="I36" s="68"/>
      <c r="J36" s="79"/>
      <c r="K36" s="101">
        <f>K35/B4</f>
        <v>0</v>
      </c>
      <c r="L36" s="68"/>
      <c r="M36" s="79"/>
    </row>
    <row r="37">
      <c r="A37" s="84" t="s">
        <v>56</v>
      </c>
      <c r="B37" s="89">
        <f>2+7+7+7+8+13+5+3+7</f>
        <v>59</v>
      </c>
      <c r="C37" s="68"/>
      <c r="D37" s="79"/>
      <c r="E37" s="90">
        <f>1+1+1+3</f>
        <v>6</v>
      </c>
      <c r="F37" s="68"/>
      <c r="G37" s="79"/>
      <c r="H37" s="90">
        <f>2+5+6+2+2</f>
        <v>17</v>
      </c>
      <c r="I37" s="68"/>
      <c r="J37" s="79"/>
      <c r="K37" s="90"/>
      <c r="L37" s="68"/>
      <c r="M37" s="79"/>
    </row>
    <row r="38">
      <c r="A38" s="84" t="s">
        <v>57</v>
      </c>
      <c r="B38" s="89">
        <f>1+4+1+4+4+2+3+1+2</f>
        <v>22</v>
      </c>
      <c r="C38" s="68"/>
      <c r="D38" s="79"/>
      <c r="E38" s="90">
        <f>1+2+2+2</f>
        <v>7</v>
      </c>
      <c r="F38" s="68"/>
      <c r="G38" s="79"/>
      <c r="H38" s="90">
        <f>1+2+4+2+3+1</f>
        <v>13</v>
      </c>
      <c r="I38" s="68"/>
      <c r="J38" s="79"/>
      <c r="K38" s="90"/>
      <c r="L38" s="68"/>
      <c r="M38" s="79"/>
    </row>
    <row r="39">
      <c r="A39" s="84" t="s">
        <v>61</v>
      </c>
      <c r="B39" s="102">
        <f>1+2+4+1+5+1</f>
        <v>14</v>
      </c>
      <c r="C39" s="66"/>
      <c r="D39" s="103"/>
      <c r="E39" s="102">
        <f>1+2+1</f>
        <v>4</v>
      </c>
      <c r="F39" s="66"/>
      <c r="G39" s="103"/>
      <c r="H39" s="102">
        <f>1+1+2</f>
        <v>4</v>
      </c>
      <c r="I39" s="66"/>
      <c r="J39" s="103"/>
      <c r="K39" s="102"/>
      <c r="L39" s="66"/>
      <c r="M39" s="103"/>
    </row>
    <row r="40">
      <c r="A40" s="84" t="s">
        <v>62</v>
      </c>
      <c r="B40" s="104">
        <f>B35/(B37+B38+B39)</f>
        <v>1545.263158</v>
      </c>
      <c r="C40" s="68"/>
      <c r="D40" s="79"/>
      <c r="E40" s="105">
        <f>E35/(E37+E38+E39)</f>
        <v>1494.117647</v>
      </c>
      <c r="F40" s="68"/>
      <c r="G40" s="79"/>
      <c r="H40" s="105">
        <f>H35/(H37+H38+H39)</f>
        <v>2569.117647</v>
      </c>
      <c r="I40" s="68"/>
      <c r="J40" s="79"/>
      <c r="K40" s="105" t="str">
        <f>K35/(K37+K38+K39)</f>
        <v>#DIV/0!</v>
      </c>
      <c r="L40" s="68"/>
      <c r="M40" s="79"/>
    </row>
    <row r="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>
      <c r="A47" s="95"/>
      <c r="B47" s="63" t="s">
        <v>76</v>
      </c>
      <c r="C47" s="61"/>
      <c r="D47" s="62"/>
      <c r="E47" s="63" t="s">
        <v>77</v>
      </c>
      <c r="F47" s="61"/>
      <c r="G47" s="62"/>
      <c r="H47" s="63" t="s">
        <v>78</v>
      </c>
      <c r="I47" s="61"/>
      <c r="J47" s="62"/>
      <c r="K47" s="63" t="s">
        <v>79</v>
      </c>
      <c r="L47" s="61"/>
      <c r="M47" s="62"/>
    </row>
    <row r="48">
      <c r="B48" s="64" t="s">
        <v>43</v>
      </c>
      <c r="E48" s="64" t="s">
        <v>43</v>
      </c>
      <c r="H48" s="64" t="s">
        <v>43</v>
      </c>
      <c r="K48" s="64" t="s">
        <v>43</v>
      </c>
    </row>
    <row r="49">
      <c r="B49" s="67" t="s">
        <v>80</v>
      </c>
      <c r="C49" s="68"/>
      <c r="D49" s="4"/>
      <c r="E49" s="67" t="s">
        <v>81</v>
      </c>
      <c r="F49" s="68"/>
      <c r="G49" s="4"/>
      <c r="H49" s="65" t="s">
        <v>82</v>
      </c>
      <c r="I49" s="66"/>
      <c r="J49" s="49"/>
      <c r="K49" s="65" t="s">
        <v>83</v>
      </c>
      <c r="L49" s="66"/>
      <c r="M49" s="49"/>
    </row>
    <row r="50">
      <c r="B50" s="67" t="s">
        <v>84</v>
      </c>
      <c r="C50" s="68"/>
      <c r="D50" s="4"/>
      <c r="E50" s="67" t="s">
        <v>85</v>
      </c>
      <c r="F50" s="68"/>
      <c r="G50" s="4"/>
      <c r="H50" s="69"/>
      <c r="J50" s="70"/>
      <c r="K50" s="69"/>
      <c r="M50" s="70"/>
    </row>
    <row r="51">
      <c r="B51" s="67"/>
      <c r="C51" s="68"/>
      <c r="D51" s="4"/>
      <c r="E51" s="67" t="s">
        <v>86</v>
      </c>
      <c r="F51" s="68"/>
      <c r="G51" s="4"/>
      <c r="H51" s="50"/>
      <c r="I51" s="71"/>
      <c r="J51" s="51"/>
      <c r="K51" s="50"/>
      <c r="L51" s="71"/>
      <c r="M51" s="51"/>
    </row>
    <row r="52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>
      <c r="A54" s="106" t="s">
        <v>51</v>
      </c>
      <c r="B54" s="78" t="s">
        <v>55</v>
      </c>
      <c r="C54" s="68"/>
      <c r="D54" s="79"/>
      <c r="E54" s="78" t="s">
        <v>55</v>
      </c>
      <c r="F54" s="68"/>
      <c r="G54" s="79"/>
      <c r="H54" s="78" t="s">
        <v>87</v>
      </c>
      <c r="I54" s="68"/>
      <c r="J54" s="79"/>
      <c r="K54" s="78" t="s">
        <v>55</v>
      </c>
      <c r="L54" s="68"/>
      <c r="M54" s="79"/>
    </row>
    <row r="55">
      <c r="A55" s="106" t="s">
        <v>56</v>
      </c>
      <c r="B55" s="83">
        <v>1800.0</v>
      </c>
      <c r="C55" s="81">
        <v>1800.0</v>
      </c>
      <c r="D55" s="82">
        <v>1800.0</v>
      </c>
      <c r="E55" s="83">
        <v>2000.0</v>
      </c>
      <c r="F55" s="81">
        <v>2000.0</v>
      </c>
      <c r="G55" s="82">
        <v>2000.0</v>
      </c>
      <c r="H55" s="83">
        <v>1500.0</v>
      </c>
      <c r="I55" s="81">
        <v>1600.0</v>
      </c>
      <c r="J55" s="82">
        <v>1800.0</v>
      </c>
      <c r="K55" s="100">
        <v>1500.0</v>
      </c>
      <c r="L55" s="68"/>
      <c r="M55" s="79"/>
    </row>
    <row r="56">
      <c r="A56" s="106" t="s">
        <v>57</v>
      </c>
      <c r="B56" s="83">
        <v>2500.0</v>
      </c>
      <c r="C56" s="81">
        <v>2500.0</v>
      </c>
      <c r="D56" s="82">
        <v>2500.0</v>
      </c>
      <c r="E56" s="83">
        <v>2200.0</v>
      </c>
      <c r="F56" s="81">
        <v>2200.0</v>
      </c>
      <c r="G56" s="82">
        <v>2200.0</v>
      </c>
      <c r="H56" s="83">
        <v>1600.0</v>
      </c>
      <c r="I56" s="81">
        <v>1700.0</v>
      </c>
      <c r="J56" s="82">
        <v>1900.0</v>
      </c>
      <c r="K56" s="100">
        <v>2000.0</v>
      </c>
      <c r="L56" s="68"/>
      <c r="M56" s="79"/>
    </row>
    <row r="57"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</row>
    <row r="58">
      <c r="A58" s="84" t="s">
        <v>58</v>
      </c>
      <c r="B58" s="86">
        <f>1800+2500+2500+2500+5000+4300+5000</f>
        <v>23600</v>
      </c>
      <c r="C58" s="68"/>
      <c r="D58" s="79"/>
      <c r="E58" s="86">
        <f>2000+2000+2000</f>
        <v>6000</v>
      </c>
      <c r="F58" s="68"/>
      <c r="G58" s="79"/>
      <c r="H58" s="86">
        <f>850+1700+1800+2550+2900+1700+6750+2550</f>
        <v>20800</v>
      </c>
      <c r="I58" s="68"/>
      <c r="J58" s="79"/>
      <c r="K58" s="86">
        <f>6400+4000+2000</f>
        <v>12400</v>
      </c>
      <c r="L58" s="68"/>
      <c r="M58" s="79"/>
    </row>
    <row r="59">
      <c r="A59" s="108" t="s">
        <v>59</v>
      </c>
      <c r="B59" s="101">
        <f>B58/B4</f>
        <v>0.03079733786</v>
      </c>
      <c r="C59" s="68"/>
      <c r="D59" s="79"/>
      <c r="E59" s="101">
        <f>E58/B4</f>
        <v>0.007829831659</v>
      </c>
      <c r="F59" s="68"/>
      <c r="G59" s="79"/>
      <c r="H59" s="101">
        <f>H58/B4</f>
        <v>0.02714341642</v>
      </c>
      <c r="I59" s="68"/>
      <c r="J59" s="79"/>
      <c r="K59" s="101">
        <f>K58/B4</f>
        <v>0.01618165209</v>
      </c>
      <c r="L59" s="68"/>
      <c r="M59" s="79"/>
    </row>
    <row r="60">
      <c r="A60" s="109" t="s">
        <v>56</v>
      </c>
      <c r="B60" s="90">
        <f>1+1</f>
        <v>2</v>
      </c>
      <c r="C60" s="68"/>
      <c r="D60" s="79"/>
      <c r="E60" s="90" t="s">
        <v>88</v>
      </c>
      <c r="F60" s="68"/>
      <c r="G60" s="79"/>
      <c r="H60" s="90"/>
      <c r="I60" s="68"/>
      <c r="J60" s="79"/>
      <c r="K60" s="90" t="s">
        <v>60</v>
      </c>
      <c r="L60" s="68"/>
      <c r="M60" s="79"/>
    </row>
    <row r="61">
      <c r="A61" s="109" t="s">
        <v>57</v>
      </c>
      <c r="B61" s="90">
        <f>1+1+1+2+1+2</f>
        <v>8</v>
      </c>
      <c r="C61" s="68"/>
      <c r="D61" s="79"/>
      <c r="E61" s="90"/>
      <c r="F61" s="68"/>
      <c r="G61" s="79"/>
      <c r="H61" s="90">
        <f>2+2+1+1+4+2</f>
        <v>12</v>
      </c>
      <c r="I61" s="68"/>
      <c r="J61" s="79"/>
      <c r="K61" s="90">
        <f>4+1</f>
        <v>5</v>
      </c>
      <c r="L61" s="68"/>
      <c r="M61" s="79"/>
    </row>
    <row r="62">
      <c r="A62" s="109" t="s">
        <v>61</v>
      </c>
      <c r="B62" s="110"/>
      <c r="C62" s="66"/>
      <c r="D62" s="103"/>
      <c r="E62" s="102"/>
      <c r="F62" s="66"/>
      <c r="G62" s="103"/>
      <c r="H62" s="102">
        <f>1+1</f>
        <v>2</v>
      </c>
      <c r="I62" s="66"/>
      <c r="J62" s="103"/>
      <c r="K62" s="102"/>
      <c r="L62" s="66"/>
      <c r="M62" s="103"/>
    </row>
    <row r="63">
      <c r="A63" s="109" t="s">
        <v>62</v>
      </c>
      <c r="B63" s="105">
        <f>B58/(B60+B61+B62)</f>
        <v>2360</v>
      </c>
      <c r="C63" s="68"/>
      <c r="D63" s="79"/>
      <c r="E63" s="105">
        <f>E58/(E60+E61+E62)</f>
        <v>2000</v>
      </c>
      <c r="F63" s="68"/>
      <c r="G63" s="79"/>
      <c r="H63" s="105">
        <f>H58/(H60+H61+H62)</f>
        <v>1485.714286</v>
      </c>
      <c r="I63" s="68"/>
      <c r="J63" s="79"/>
      <c r="K63" s="105">
        <f>K58/(K60+K61+K62)</f>
        <v>2066.666667</v>
      </c>
      <c r="L63" s="68"/>
      <c r="M63" s="79"/>
    </row>
    <row r="64">
      <c r="B64" s="2"/>
      <c r="C64" s="2"/>
      <c r="D64" s="2"/>
      <c r="E64" s="111"/>
      <c r="F64" s="2"/>
      <c r="G64" s="2"/>
      <c r="H64" s="2"/>
      <c r="I64" s="2"/>
      <c r="J64" s="2"/>
      <c r="K64" s="2"/>
      <c r="L64" s="2"/>
      <c r="M64" s="2"/>
    </row>
    <row r="65">
      <c r="B65" s="67" t="s">
        <v>89</v>
      </c>
      <c r="C65" s="68"/>
      <c r="D65" s="68"/>
      <c r="E65" s="4"/>
      <c r="F65" s="67" t="s">
        <v>43</v>
      </c>
      <c r="G65" s="68"/>
      <c r="H65" s="4"/>
      <c r="I65" s="2"/>
      <c r="J65" s="2"/>
      <c r="K65" s="2"/>
      <c r="L65" s="2"/>
      <c r="M65" s="2"/>
    </row>
    <row r="66">
      <c r="B66" s="112" t="s">
        <v>90</v>
      </c>
      <c r="C66" s="68"/>
      <c r="D66" s="68"/>
      <c r="E66" s="4"/>
      <c r="F66" s="67" t="s">
        <v>91</v>
      </c>
      <c r="G66" s="68"/>
      <c r="H66" s="4"/>
      <c r="I66" s="2"/>
      <c r="J66" s="2"/>
      <c r="K66" s="2"/>
      <c r="L66" s="2"/>
      <c r="M66" s="2"/>
    </row>
    <row r="67">
      <c r="B67" s="113" t="s">
        <v>92</v>
      </c>
      <c r="C67" s="66"/>
      <c r="D67" s="66"/>
      <c r="E67" s="49"/>
      <c r="F67" s="67" t="s">
        <v>93</v>
      </c>
      <c r="G67" s="68"/>
      <c r="H67" s="4"/>
      <c r="I67" s="2"/>
      <c r="J67" s="2"/>
      <c r="K67" s="2"/>
      <c r="L67" s="2"/>
      <c r="M67" s="2"/>
    </row>
    <row r="68">
      <c r="B68" s="69"/>
      <c r="E68" s="70"/>
      <c r="F68" s="67" t="s">
        <v>94</v>
      </c>
      <c r="G68" s="68"/>
      <c r="H68" s="4"/>
      <c r="I68" s="2"/>
      <c r="J68" s="2"/>
      <c r="K68" s="2"/>
      <c r="L68" s="2"/>
      <c r="M68" s="2"/>
    </row>
    <row r="69">
      <c r="B69" s="50"/>
      <c r="C69" s="71"/>
      <c r="D69" s="71"/>
      <c r="E69" s="51"/>
      <c r="F69" s="67" t="s">
        <v>95</v>
      </c>
      <c r="G69" s="68"/>
      <c r="H69" s="4"/>
      <c r="I69" s="2"/>
      <c r="J69" s="2"/>
      <c r="K69" s="2"/>
      <c r="L69" s="2"/>
      <c r="M69" s="2"/>
    </row>
    <row r="70">
      <c r="B70" s="112" t="s">
        <v>96</v>
      </c>
      <c r="C70" s="68"/>
      <c r="D70" s="68"/>
      <c r="E70" s="4"/>
      <c r="F70" s="67" t="s">
        <v>47</v>
      </c>
      <c r="G70" s="68"/>
      <c r="H70" s="4"/>
      <c r="I70" s="2"/>
      <c r="J70" s="2"/>
      <c r="K70" s="2"/>
      <c r="L70" s="2"/>
      <c r="M70" s="2"/>
    </row>
    <row r="71">
      <c r="B71" s="114" t="s">
        <v>97</v>
      </c>
      <c r="C71" s="71"/>
      <c r="D71" s="71"/>
      <c r="E71" s="51"/>
      <c r="F71" s="67" t="s">
        <v>95</v>
      </c>
      <c r="G71" s="68"/>
      <c r="H71" s="4"/>
      <c r="I71" s="2"/>
      <c r="J71" s="2"/>
      <c r="K71" s="2"/>
      <c r="L71" s="2"/>
      <c r="M71" s="2"/>
    </row>
    <row r="72">
      <c r="B72" s="114" t="s">
        <v>98</v>
      </c>
      <c r="C72" s="71"/>
      <c r="D72" s="71"/>
      <c r="E72" s="51"/>
      <c r="F72" s="67" t="s">
        <v>99</v>
      </c>
      <c r="G72" s="68"/>
      <c r="H72" s="4"/>
      <c r="I72" s="2"/>
      <c r="J72" s="2"/>
      <c r="K72" s="2"/>
      <c r="L72" s="2"/>
      <c r="M72" s="2"/>
    </row>
    <row r="73">
      <c r="B73" s="115" t="s">
        <v>100</v>
      </c>
      <c r="C73" s="68"/>
      <c r="D73" s="68"/>
      <c r="E73" s="4"/>
      <c r="F73" s="67" t="s">
        <v>101</v>
      </c>
      <c r="G73" s="68"/>
      <c r="H73" s="4"/>
      <c r="I73" s="2"/>
      <c r="J73" s="2"/>
      <c r="K73" s="2"/>
      <c r="L73" s="2"/>
      <c r="M73" s="2"/>
    </row>
    <row r="74">
      <c r="B74" s="115" t="s">
        <v>102</v>
      </c>
      <c r="C74" s="68"/>
      <c r="D74" s="68"/>
      <c r="E74" s="4"/>
      <c r="F74" s="67" t="s">
        <v>103</v>
      </c>
      <c r="G74" s="68"/>
      <c r="H74" s="4"/>
      <c r="I74" s="2"/>
      <c r="J74" s="2"/>
      <c r="K74" s="2"/>
      <c r="L74" s="2"/>
      <c r="M74" s="2"/>
    </row>
    <row r="75">
      <c r="B75" s="113" t="s">
        <v>104</v>
      </c>
      <c r="C75" s="66"/>
      <c r="D75" s="66"/>
      <c r="E75" s="49"/>
      <c r="F75" s="67" t="s">
        <v>105</v>
      </c>
      <c r="G75" s="68"/>
      <c r="H75" s="4"/>
      <c r="I75" s="2"/>
      <c r="J75" s="2"/>
      <c r="K75" s="2"/>
      <c r="L75" s="2"/>
      <c r="M75" s="2"/>
    </row>
    <row r="76">
      <c r="B76" s="69"/>
      <c r="E76" s="70"/>
      <c r="F76" s="67" t="s">
        <v>106</v>
      </c>
      <c r="G76" s="68"/>
      <c r="H76" s="4"/>
      <c r="I76" s="2"/>
      <c r="J76" s="2"/>
      <c r="K76" s="2"/>
      <c r="L76" s="2"/>
      <c r="M76" s="2"/>
    </row>
    <row r="77">
      <c r="B77" s="50"/>
      <c r="C77" s="71"/>
      <c r="D77" s="71"/>
      <c r="E77" s="51"/>
      <c r="F77" s="67" t="s">
        <v>107</v>
      </c>
      <c r="G77" s="68"/>
      <c r="H77" s="4"/>
      <c r="I77" s="2"/>
      <c r="J77" s="2"/>
      <c r="K77" s="2"/>
      <c r="L77" s="2"/>
      <c r="M77" s="2"/>
    </row>
    <row r="78">
      <c r="B78" s="115" t="s">
        <v>108</v>
      </c>
      <c r="C78" s="68"/>
      <c r="D78" s="68"/>
      <c r="E78" s="4"/>
      <c r="F78" s="67" t="s">
        <v>109</v>
      </c>
      <c r="G78" s="68"/>
      <c r="H78" s="4"/>
      <c r="I78" s="2"/>
      <c r="J78" s="2"/>
      <c r="K78" s="2"/>
      <c r="L78" s="2"/>
      <c r="M78" s="2"/>
    </row>
    <row r="79">
      <c r="A79" s="116"/>
      <c r="B79" s="117" t="s">
        <v>110</v>
      </c>
      <c r="C79" s="66"/>
      <c r="D79" s="66"/>
      <c r="E79" s="49"/>
      <c r="F79" s="67" t="s">
        <v>111</v>
      </c>
      <c r="G79" s="68"/>
      <c r="H79" s="4"/>
      <c r="I79" s="2"/>
      <c r="J79" s="2"/>
      <c r="K79" s="2"/>
      <c r="L79" s="2"/>
      <c r="M79" s="2"/>
    </row>
    <row r="80">
      <c r="A80" s="116"/>
      <c r="B80" s="50"/>
      <c r="C80" s="71"/>
      <c r="D80" s="71"/>
      <c r="E80" s="51"/>
      <c r="F80" s="67" t="s">
        <v>112</v>
      </c>
      <c r="G80" s="68"/>
      <c r="H80" s="4"/>
      <c r="I80" s="2"/>
      <c r="J80" s="2"/>
      <c r="K80" s="2"/>
      <c r="L80" s="2"/>
      <c r="M80" s="2"/>
    </row>
    <row r="8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  <row r="1001"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</row>
    <row r="1002"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</row>
    <row r="1003"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</row>
  </sheetData>
  <mergeCells count="171">
    <mergeCell ref="B18:D18"/>
    <mergeCell ref="B19:D19"/>
    <mergeCell ref="E19:G19"/>
    <mergeCell ref="H19:J19"/>
    <mergeCell ref="K19:M19"/>
    <mergeCell ref="B20:D20"/>
    <mergeCell ref="E20:G20"/>
    <mergeCell ref="B21:D21"/>
    <mergeCell ref="E21:G21"/>
    <mergeCell ref="H21:J21"/>
    <mergeCell ref="K21:M21"/>
    <mergeCell ref="E22:G22"/>
    <mergeCell ref="H22:J22"/>
    <mergeCell ref="K22:M22"/>
    <mergeCell ref="H26:J26"/>
    <mergeCell ref="K26:M26"/>
    <mergeCell ref="B22:D22"/>
    <mergeCell ref="B25:D25"/>
    <mergeCell ref="E25:G25"/>
    <mergeCell ref="H25:J25"/>
    <mergeCell ref="K25:M25"/>
    <mergeCell ref="B26:D26"/>
    <mergeCell ref="E26:G26"/>
    <mergeCell ref="B27:D27"/>
    <mergeCell ref="E27:G27"/>
    <mergeCell ref="H27:J27"/>
    <mergeCell ref="K27:M27"/>
    <mergeCell ref="E28:G28"/>
    <mergeCell ref="H28:J28"/>
    <mergeCell ref="K28:M28"/>
    <mergeCell ref="B28:D28"/>
    <mergeCell ref="B29:D29"/>
    <mergeCell ref="E29:G29"/>
    <mergeCell ref="H29:J29"/>
    <mergeCell ref="E31:G31"/>
    <mergeCell ref="H31:J31"/>
    <mergeCell ref="K31:M31"/>
    <mergeCell ref="B2:D2"/>
    <mergeCell ref="B3:C3"/>
    <mergeCell ref="D3:E3"/>
    <mergeCell ref="F3:G3"/>
    <mergeCell ref="B4:C4"/>
    <mergeCell ref="D4:E4"/>
    <mergeCell ref="F4:G4"/>
    <mergeCell ref="E9:G9"/>
    <mergeCell ref="H9:J9"/>
    <mergeCell ref="K9:M11"/>
    <mergeCell ref="E10:G10"/>
    <mergeCell ref="H10:J10"/>
    <mergeCell ref="E11:G11"/>
    <mergeCell ref="H11:J11"/>
    <mergeCell ref="H13:J13"/>
    <mergeCell ref="B7:D7"/>
    <mergeCell ref="E7:G7"/>
    <mergeCell ref="H7:J7"/>
    <mergeCell ref="K7:M7"/>
    <mergeCell ref="E8:G8"/>
    <mergeCell ref="H8:J8"/>
    <mergeCell ref="K8:M8"/>
    <mergeCell ref="E18:G18"/>
    <mergeCell ref="H18:J18"/>
    <mergeCell ref="B8:D8"/>
    <mergeCell ref="B9:D11"/>
    <mergeCell ref="B17:D17"/>
    <mergeCell ref="E17:G17"/>
    <mergeCell ref="H17:J17"/>
    <mergeCell ref="K17:M17"/>
    <mergeCell ref="K18:M18"/>
    <mergeCell ref="H20:J20"/>
    <mergeCell ref="K20:M20"/>
    <mergeCell ref="H32:J32"/>
    <mergeCell ref="K32:M32"/>
    <mergeCell ref="H33:J33"/>
    <mergeCell ref="K33:M33"/>
    <mergeCell ref="E35:G35"/>
    <mergeCell ref="H35:J35"/>
    <mergeCell ref="K35:M35"/>
    <mergeCell ref="B48:D48"/>
    <mergeCell ref="E48:G48"/>
    <mergeCell ref="H48:J48"/>
    <mergeCell ref="K48:M48"/>
    <mergeCell ref="E49:G49"/>
    <mergeCell ref="H49:J51"/>
    <mergeCell ref="K49:M51"/>
    <mergeCell ref="E50:G50"/>
    <mergeCell ref="B51:D51"/>
    <mergeCell ref="E51:G51"/>
    <mergeCell ref="H54:J54"/>
    <mergeCell ref="K54:M54"/>
    <mergeCell ref="K55:M55"/>
    <mergeCell ref="K56:M56"/>
    <mergeCell ref="H62:J62"/>
    <mergeCell ref="K62:M62"/>
    <mergeCell ref="E60:G60"/>
    <mergeCell ref="H60:J60"/>
    <mergeCell ref="K60:M60"/>
    <mergeCell ref="E61:G61"/>
    <mergeCell ref="H61:J61"/>
    <mergeCell ref="K61:M61"/>
    <mergeCell ref="E62:G62"/>
    <mergeCell ref="B62:D62"/>
    <mergeCell ref="B63:D63"/>
    <mergeCell ref="E63:G63"/>
    <mergeCell ref="H63:J63"/>
    <mergeCell ref="K63:M63"/>
    <mergeCell ref="B65:E65"/>
    <mergeCell ref="F65:H65"/>
    <mergeCell ref="B66:E66"/>
    <mergeCell ref="F66:H66"/>
    <mergeCell ref="B67:E69"/>
    <mergeCell ref="F67:H67"/>
    <mergeCell ref="F68:H68"/>
    <mergeCell ref="F69:H69"/>
    <mergeCell ref="F70:H70"/>
    <mergeCell ref="B70:E70"/>
    <mergeCell ref="B71:E71"/>
    <mergeCell ref="F71:H71"/>
    <mergeCell ref="B72:E72"/>
    <mergeCell ref="F72:H72"/>
    <mergeCell ref="B73:E73"/>
    <mergeCell ref="F73:H73"/>
    <mergeCell ref="B78:E78"/>
    <mergeCell ref="B79:E80"/>
    <mergeCell ref="F79:H79"/>
    <mergeCell ref="F80:H80"/>
    <mergeCell ref="B74:E74"/>
    <mergeCell ref="F74:H74"/>
    <mergeCell ref="B75:E77"/>
    <mergeCell ref="F75:H75"/>
    <mergeCell ref="F76:H76"/>
    <mergeCell ref="F77:H77"/>
    <mergeCell ref="F78:H78"/>
    <mergeCell ref="H37:J37"/>
    <mergeCell ref="K37:M37"/>
    <mergeCell ref="B35:D35"/>
    <mergeCell ref="B36:D36"/>
    <mergeCell ref="E36:G36"/>
    <mergeCell ref="H36:J36"/>
    <mergeCell ref="K36:M36"/>
    <mergeCell ref="B37:D37"/>
    <mergeCell ref="E37:G37"/>
    <mergeCell ref="B38:D38"/>
    <mergeCell ref="E38:G38"/>
    <mergeCell ref="H38:J38"/>
    <mergeCell ref="K38:M38"/>
    <mergeCell ref="E39:G39"/>
    <mergeCell ref="H39:J39"/>
    <mergeCell ref="K39:M39"/>
    <mergeCell ref="H47:J47"/>
    <mergeCell ref="K47:M47"/>
    <mergeCell ref="B39:D39"/>
    <mergeCell ref="B40:D40"/>
    <mergeCell ref="E40:G40"/>
    <mergeCell ref="H40:J40"/>
    <mergeCell ref="K40:M40"/>
    <mergeCell ref="B47:D47"/>
    <mergeCell ref="E47:G47"/>
    <mergeCell ref="E54:G54"/>
    <mergeCell ref="E58:G58"/>
    <mergeCell ref="H58:J58"/>
    <mergeCell ref="K58:M58"/>
    <mergeCell ref="E59:G59"/>
    <mergeCell ref="H59:J59"/>
    <mergeCell ref="K59:M59"/>
    <mergeCell ref="B49:D49"/>
    <mergeCell ref="B50:D50"/>
    <mergeCell ref="B54:D54"/>
    <mergeCell ref="B58:D58"/>
    <mergeCell ref="B59:D59"/>
    <mergeCell ref="B60:D60"/>
    <mergeCell ref="B61:D6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